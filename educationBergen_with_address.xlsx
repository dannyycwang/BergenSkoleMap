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ycw\"/>
    </mc:Choice>
  </mc:AlternateContent>
  <xr:revisionPtr revIDLastSave="0" documentId="8_{EC355464-5851-4285-A6A6-4231ED1BF669}" xr6:coauthVersionLast="47" xr6:coauthVersionMax="47" xr10:uidLastSave="{00000000-0000-0000-0000-000000000000}"/>
  <bookViews>
    <workbookView xWindow="-25710" yWindow="-110" windowWidth="25820" windowHeight="15500" activeTab="1" xr2:uid="{00000000-000D-0000-FFFF-FFFF00000000}"/>
  </bookViews>
  <sheets>
    <sheet name="MASTER_SCHOOL_TABLE_UTF8" sheetId="1" r:id="rId1"/>
    <sheet name="main" sheetId="6" r:id="rId2"/>
    <sheet name="工作表1" sheetId="3" state="hidden" r:id="rId3"/>
    <sheet name="工作表3" sheetId="4" state="hidden" r:id="rId4"/>
    <sheet name="address_map" sheetId="5" r:id="rId5"/>
  </sheets>
  <definedNames>
    <definedName name="外部資料_1" localSheetId="0" hidden="1">MASTER_SCHOOL_TABLE_UTF8!$A$1:$FG$113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" i="3" l="1"/>
  <c r="E76" i="3" s="1"/>
  <c r="B75" i="3"/>
  <c r="E75" i="3" s="1"/>
  <c r="B74" i="3"/>
  <c r="E74" i="3" s="1"/>
  <c r="B73" i="3"/>
  <c r="E73" i="3" s="1"/>
  <c r="E72" i="3"/>
  <c r="B72" i="3"/>
  <c r="B71" i="3"/>
  <c r="E71" i="3" s="1"/>
  <c r="E70" i="3"/>
  <c r="B70" i="3"/>
  <c r="E69" i="3"/>
  <c r="B69" i="3"/>
  <c r="B68" i="3"/>
  <c r="E68" i="3" s="1"/>
  <c r="B67" i="3"/>
  <c r="E67" i="3" s="1"/>
  <c r="B66" i="3"/>
  <c r="E66" i="3" s="1"/>
  <c r="B65" i="3"/>
  <c r="E65" i="3" s="1"/>
  <c r="B64" i="3"/>
  <c r="E64" i="3" s="1"/>
  <c r="B63" i="3"/>
  <c r="E63" i="3" s="1"/>
  <c r="E62" i="3"/>
  <c r="B62" i="3"/>
  <c r="B61" i="3"/>
  <c r="E61" i="3" s="1"/>
  <c r="E60" i="3"/>
  <c r="B60" i="3"/>
  <c r="E59" i="3"/>
  <c r="B59" i="3"/>
  <c r="B58" i="3"/>
  <c r="E58" i="3" s="1"/>
  <c r="B57" i="3"/>
  <c r="E57" i="3" s="1"/>
  <c r="B56" i="3"/>
  <c r="E56" i="3" s="1"/>
  <c r="B55" i="3"/>
  <c r="E55" i="3" s="1"/>
  <c r="B54" i="3"/>
  <c r="E54" i="3" s="1"/>
  <c r="B53" i="3"/>
  <c r="E53" i="3" s="1"/>
  <c r="E52" i="3"/>
  <c r="B52" i="3"/>
  <c r="B51" i="3"/>
  <c r="E51" i="3" s="1"/>
  <c r="E50" i="3"/>
  <c r="B50" i="3"/>
  <c r="E49" i="3"/>
  <c r="B49" i="3"/>
  <c r="B48" i="3"/>
  <c r="E48" i="3" s="1"/>
  <c r="B47" i="3"/>
  <c r="E47" i="3" s="1"/>
  <c r="B46" i="3"/>
  <c r="E46" i="3" s="1"/>
  <c r="B45" i="3"/>
  <c r="E45" i="3" s="1"/>
  <c r="B44" i="3"/>
  <c r="E44" i="3" s="1"/>
  <c r="B43" i="3"/>
  <c r="E43" i="3" s="1"/>
  <c r="E42" i="3"/>
  <c r="B42" i="3"/>
  <c r="B41" i="3"/>
  <c r="E41" i="3" s="1"/>
  <c r="E40" i="3"/>
  <c r="B40" i="3"/>
  <c r="E39" i="3"/>
  <c r="B39" i="3"/>
  <c r="B38" i="3"/>
  <c r="E38" i="3" s="1"/>
  <c r="B37" i="3"/>
  <c r="E37" i="3" s="1"/>
  <c r="B36" i="3"/>
  <c r="E36" i="3" s="1"/>
  <c r="B35" i="3"/>
  <c r="E35" i="3" s="1"/>
  <c r="B34" i="3"/>
  <c r="E34" i="3" s="1"/>
  <c r="B33" i="3"/>
  <c r="E33" i="3" s="1"/>
  <c r="E32" i="3"/>
  <c r="B32" i="3"/>
  <c r="B31" i="3"/>
  <c r="E31" i="3" s="1"/>
  <c r="E30" i="3"/>
  <c r="B30" i="3"/>
  <c r="E29" i="3"/>
  <c r="B29" i="3"/>
  <c r="B28" i="3"/>
  <c r="E28" i="3" s="1"/>
  <c r="B27" i="3"/>
  <c r="E27" i="3" s="1"/>
  <c r="B26" i="3"/>
  <c r="E26" i="3" s="1"/>
  <c r="B25" i="3"/>
  <c r="E25" i="3" s="1"/>
  <c r="B24" i="3"/>
  <c r="E24" i="3" s="1"/>
  <c r="B23" i="3"/>
  <c r="E23" i="3" s="1"/>
  <c r="E22" i="3"/>
  <c r="B22" i="3"/>
  <c r="B21" i="3"/>
  <c r="E21" i="3" s="1"/>
  <c r="E20" i="3"/>
  <c r="B20" i="3"/>
  <c r="E19" i="3"/>
  <c r="B19" i="3"/>
  <c r="B18" i="3"/>
  <c r="E18" i="3" s="1"/>
  <c r="B17" i="3"/>
  <c r="E17" i="3" s="1"/>
  <c r="B16" i="3"/>
  <c r="E16" i="3" s="1"/>
  <c r="B15" i="3"/>
  <c r="E15" i="3" s="1"/>
  <c r="B14" i="3"/>
  <c r="E14" i="3" s="1"/>
  <c r="B13" i="3"/>
  <c r="E13" i="3" s="1"/>
  <c r="E12" i="3"/>
  <c r="B12" i="3"/>
  <c r="B11" i="3"/>
  <c r="E11" i="3" s="1"/>
  <c r="E10" i="3"/>
  <c r="B10" i="3"/>
  <c r="E9" i="3"/>
  <c r="B9" i="3"/>
  <c r="B8" i="3"/>
  <c r="E8" i="3" s="1"/>
  <c r="B7" i="3"/>
  <c r="E7" i="3" s="1"/>
  <c r="B6" i="3"/>
  <c r="E6" i="3" s="1"/>
  <c r="B5" i="3"/>
  <c r="E5" i="3" s="1"/>
  <c r="B4" i="3"/>
  <c r="E4" i="3" s="1"/>
  <c r="B3" i="3"/>
  <c r="E3" i="3" s="1"/>
  <c r="E2" i="3"/>
  <c r="B2" i="3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O102" i="1"/>
  <c r="N102" i="1"/>
  <c r="M102" i="1"/>
  <c r="L102" i="1"/>
  <c r="K102" i="1"/>
  <c r="J102" i="1"/>
  <c r="O101" i="1"/>
  <c r="N101" i="1"/>
  <c r="M101" i="1"/>
  <c r="L101" i="1"/>
  <c r="K101" i="1"/>
  <c r="J101" i="1"/>
  <c r="O100" i="1"/>
  <c r="N100" i="1"/>
  <c r="M100" i="1"/>
  <c r="L100" i="1"/>
  <c r="K100" i="1"/>
  <c r="J100" i="1"/>
  <c r="O99" i="1"/>
  <c r="N99" i="1"/>
  <c r="M99" i="1"/>
  <c r="L99" i="1"/>
  <c r="K99" i="1"/>
  <c r="J99" i="1"/>
  <c r="O98" i="1"/>
  <c r="N98" i="1"/>
  <c r="M98" i="1"/>
  <c r="L98" i="1"/>
  <c r="K98" i="1"/>
  <c r="J98" i="1"/>
  <c r="O97" i="1"/>
  <c r="N97" i="1"/>
  <c r="M97" i="1"/>
  <c r="L97" i="1"/>
  <c r="K97" i="1"/>
  <c r="J97" i="1"/>
  <c r="O96" i="1"/>
  <c r="N96" i="1"/>
  <c r="M96" i="1"/>
  <c r="L96" i="1"/>
  <c r="K96" i="1"/>
  <c r="J96" i="1"/>
  <c r="O95" i="1"/>
  <c r="N95" i="1"/>
  <c r="M95" i="1"/>
  <c r="L95" i="1"/>
  <c r="K95" i="1"/>
  <c r="J95" i="1"/>
  <c r="O94" i="1"/>
  <c r="N94" i="1"/>
  <c r="M94" i="1"/>
  <c r="L94" i="1"/>
  <c r="K94" i="1"/>
  <c r="J94" i="1"/>
  <c r="O93" i="1"/>
  <c r="N93" i="1"/>
  <c r="M93" i="1"/>
  <c r="L93" i="1"/>
  <c r="K93" i="1"/>
  <c r="J93" i="1"/>
  <c r="O92" i="1"/>
  <c r="N92" i="1"/>
  <c r="M92" i="1"/>
  <c r="L92" i="1"/>
  <c r="K92" i="1"/>
  <c r="J92" i="1"/>
  <c r="O91" i="1"/>
  <c r="N91" i="1"/>
  <c r="M91" i="1"/>
  <c r="L91" i="1"/>
  <c r="K91" i="1"/>
  <c r="J91" i="1"/>
  <c r="O90" i="1"/>
  <c r="N90" i="1"/>
  <c r="M90" i="1"/>
  <c r="L90" i="1"/>
  <c r="K90" i="1"/>
  <c r="J90" i="1"/>
  <c r="O89" i="1"/>
  <c r="N89" i="1"/>
  <c r="M89" i="1"/>
  <c r="L89" i="1"/>
  <c r="K89" i="1"/>
  <c r="J89" i="1"/>
  <c r="O88" i="1"/>
  <c r="N88" i="1"/>
  <c r="M88" i="1"/>
  <c r="L88" i="1"/>
  <c r="K88" i="1"/>
  <c r="J88" i="1"/>
  <c r="O87" i="1"/>
  <c r="N87" i="1"/>
  <c r="M87" i="1"/>
  <c r="L87" i="1"/>
  <c r="K87" i="1"/>
  <c r="J87" i="1"/>
  <c r="O86" i="1"/>
  <c r="N86" i="1"/>
  <c r="M86" i="1"/>
  <c r="L86" i="1"/>
  <c r="K86" i="1"/>
  <c r="J86" i="1"/>
  <c r="O85" i="1"/>
  <c r="N85" i="1"/>
  <c r="M85" i="1"/>
  <c r="L85" i="1"/>
  <c r="K85" i="1"/>
  <c r="J85" i="1"/>
  <c r="O84" i="1"/>
  <c r="N84" i="1"/>
  <c r="M84" i="1"/>
  <c r="L84" i="1"/>
  <c r="K84" i="1"/>
  <c r="J84" i="1"/>
  <c r="O83" i="1"/>
  <c r="N83" i="1"/>
  <c r="M83" i="1"/>
  <c r="L83" i="1"/>
  <c r="K83" i="1"/>
  <c r="J83" i="1"/>
  <c r="O82" i="1"/>
  <c r="N82" i="1"/>
  <c r="M82" i="1"/>
  <c r="L82" i="1"/>
  <c r="K82" i="1"/>
  <c r="J82" i="1"/>
  <c r="O81" i="1"/>
  <c r="N81" i="1"/>
  <c r="M81" i="1"/>
  <c r="L81" i="1"/>
  <c r="K81" i="1"/>
  <c r="J81" i="1"/>
  <c r="O80" i="1"/>
  <c r="N80" i="1"/>
  <c r="M80" i="1"/>
  <c r="L80" i="1"/>
  <c r="K80" i="1"/>
  <c r="J80" i="1"/>
  <c r="O79" i="1"/>
  <c r="N79" i="1"/>
  <c r="M79" i="1"/>
  <c r="L79" i="1"/>
  <c r="K79" i="1"/>
  <c r="J79" i="1"/>
  <c r="O78" i="1"/>
  <c r="N78" i="1"/>
  <c r="M78" i="1"/>
  <c r="L78" i="1"/>
  <c r="K78" i="1"/>
  <c r="J78" i="1"/>
  <c r="O77" i="1"/>
  <c r="N77" i="1"/>
  <c r="M77" i="1"/>
  <c r="L77" i="1"/>
  <c r="K77" i="1"/>
  <c r="J77" i="1"/>
  <c r="O76" i="1"/>
  <c r="N76" i="1"/>
  <c r="M76" i="1"/>
  <c r="L76" i="1"/>
  <c r="K76" i="1"/>
  <c r="J76" i="1"/>
  <c r="O75" i="1"/>
  <c r="N75" i="1"/>
  <c r="M75" i="1"/>
  <c r="L75" i="1"/>
  <c r="K75" i="1"/>
  <c r="J75" i="1"/>
  <c r="O74" i="1"/>
  <c r="N74" i="1"/>
  <c r="M74" i="1"/>
  <c r="L74" i="1"/>
  <c r="K74" i="1"/>
  <c r="J74" i="1"/>
  <c r="O73" i="1"/>
  <c r="N73" i="1"/>
  <c r="M73" i="1"/>
  <c r="L73" i="1"/>
  <c r="K73" i="1"/>
  <c r="J73" i="1"/>
  <c r="O72" i="1"/>
  <c r="N72" i="1"/>
  <c r="M72" i="1"/>
  <c r="L72" i="1"/>
  <c r="K72" i="1"/>
  <c r="J72" i="1"/>
  <c r="O71" i="1"/>
  <c r="N71" i="1"/>
  <c r="M71" i="1"/>
  <c r="L71" i="1"/>
  <c r="K71" i="1"/>
  <c r="J71" i="1"/>
  <c r="O70" i="1"/>
  <c r="N70" i="1"/>
  <c r="M70" i="1"/>
  <c r="L70" i="1"/>
  <c r="K70" i="1"/>
  <c r="J70" i="1"/>
  <c r="O69" i="1"/>
  <c r="N69" i="1"/>
  <c r="M69" i="1"/>
  <c r="L69" i="1"/>
  <c r="K69" i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J60" i="1"/>
  <c r="O59" i="1"/>
  <c r="N59" i="1"/>
  <c r="M59" i="1"/>
  <c r="L59" i="1"/>
  <c r="K59" i="1"/>
  <c r="J59" i="1"/>
  <c r="O58" i="1"/>
  <c r="N58" i="1"/>
  <c r="M58" i="1"/>
  <c r="L58" i="1"/>
  <c r="K58" i="1"/>
  <c r="J58" i="1"/>
  <c r="O57" i="1"/>
  <c r="N57" i="1"/>
  <c r="M57" i="1"/>
  <c r="L57" i="1"/>
  <c r="K57" i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J48" i="1"/>
  <c r="O47" i="1"/>
  <c r="N47" i="1"/>
  <c r="M47" i="1"/>
  <c r="L47" i="1"/>
  <c r="K47" i="1"/>
  <c r="J47" i="1"/>
  <c r="O46" i="1"/>
  <c r="N46" i="1"/>
  <c r="M46" i="1"/>
  <c r="L46" i="1"/>
  <c r="K46" i="1"/>
  <c r="J46" i="1"/>
  <c r="O45" i="1"/>
  <c r="N45" i="1"/>
  <c r="M45" i="1"/>
  <c r="L45" i="1"/>
  <c r="K45" i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J36" i="1"/>
  <c r="O35" i="1"/>
  <c r="N35" i="1"/>
  <c r="M35" i="1"/>
  <c r="L35" i="1"/>
  <c r="K35" i="1"/>
  <c r="J35" i="1"/>
  <c r="O34" i="1"/>
  <c r="N34" i="1"/>
  <c r="M34" i="1"/>
  <c r="L34" i="1"/>
  <c r="K34" i="1"/>
  <c r="J34" i="1"/>
  <c r="O33" i="1"/>
  <c r="N33" i="1"/>
  <c r="M33" i="1"/>
  <c r="L33" i="1"/>
  <c r="K33" i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J24" i="1"/>
  <c r="O23" i="1"/>
  <c r="N23" i="1"/>
  <c r="M23" i="1"/>
  <c r="L23" i="1"/>
  <c r="K23" i="1"/>
  <c r="J23" i="1"/>
  <c r="O22" i="1"/>
  <c r="N22" i="1"/>
  <c r="M22" i="1"/>
  <c r="L22" i="1"/>
  <c r="K22" i="1"/>
  <c r="J22" i="1"/>
  <c r="O21" i="1"/>
  <c r="N21" i="1"/>
  <c r="M21" i="1"/>
  <c r="L21" i="1"/>
  <c r="K21" i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J13" i="1"/>
  <c r="O12" i="1"/>
  <c r="N12" i="1"/>
  <c r="M12" i="1"/>
  <c r="L12" i="1"/>
  <c r="K12" i="1"/>
  <c r="J12" i="1"/>
  <c r="O11" i="1"/>
  <c r="N11" i="1"/>
  <c r="M11" i="1"/>
  <c r="L11" i="1"/>
  <c r="K11" i="1"/>
  <c r="J11" i="1"/>
  <c r="O10" i="1"/>
  <c r="N10" i="1"/>
  <c r="M10" i="1"/>
  <c r="L10" i="1"/>
  <c r="K10" i="1"/>
  <c r="J10" i="1"/>
  <c r="O9" i="1"/>
  <c r="N9" i="1"/>
  <c r="M9" i="1"/>
  <c r="L9" i="1"/>
  <c r="K9" i="1"/>
  <c r="J9" i="1"/>
  <c r="O8" i="1"/>
  <c r="N8" i="1"/>
  <c r="M8" i="1"/>
  <c r="L8" i="1"/>
  <c r="K8" i="1"/>
  <c r="J8" i="1"/>
  <c r="O7" i="1"/>
  <c r="N7" i="1"/>
  <c r="M7" i="1"/>
  <c r="L7" i="1"/>
  <c r="K7" i="1"/>
  <c r="J7" i="1"/>
  <c r="O6" i="1"/>
  <c r="N6" i="1"/>
  <c r="M6" i="1"/>
  <c r="L6" i="1"/>
  <c r="K6" i="1"/>
  <c r="J6" i="1"/>
  <c r="O5" i="1"/>
  <c r="N5" i="1"/>
  <c r="M5" i="1"/>
  <c r="L5" i="1"/>
  <c r="K5" i="1"/>
  <c r="J5" i="1"/>
  <c r="O4" i="1"/>
  <c r="N4" i="1"/>
  <c r="M4" i="1"/>
  <c r="L4" i="1"/>
  <c r="K4" i="1"/>
  <c r="J4" i="1"/>
  <c r="O3" i="1"/>
  <c r="N3" i="1"/>
  <c r="M3" i="1"/>
  <c r="L3" i="1"/>
  <c r="K3" i="1"/>
  <c r="J3" i="1"/>
  <c r="O2" i="1"/>
  <c r="N2" i="1"/>
  <c r="M2" i="1"/>
  <c r="L2" i="1"/>
  <c r="K2" i="1"/>
  <c r="J2" i="1"/>
</calcChain>
</file>

<file path=xl/sharedStrings.xml><?xml version="1.0" encoding="utf-8"?>
<sst xmlns="http://schemas.openxmlformats.org/spreadsheetml/2006/main" count="20049" uniqueCount="1599">
  <si>
    <t>EnhetNivaa</t>
  </si>
  <si>
    <t>Nasjonaltkode</t>
  </si>
  <si>
    <t>Fylkekode</t>
  </si>
  <si>
    <t>Kommunekode</t>
  </si>
  <si>
    <t>Organisasjonsnummer</t>
  </si>
  <si>
    <t>Nasjonalt</t>
  </si>
  <si>
    <t>Fylke</t>
  </si>
  <si>
    <t>Kommune</t>
  </si>
  <si>
    <t>EnhetNavn3</t>
  </si>
  <si>
    <t>EnhetNavn</t>
  </si>
  <si>
    <t>欄1</t>
  </si>
  <si>
    <t>Alle spørsmøl</t>
  </si>
  <si>
    <t>Er du blitt mobbet av andre elever? skolen de siste månedene?</t>
  </si>
  <si>
    <t>Er du blitt mobbet av voksne? skolen de siste?nedene?</t>
  </si>
  <si>
    <t>Er du blitt mobbet digitalt (mobil, iPad, PC) de siste m?nedene?</t>
  </si>
  <si>
    <t>2021-22.Alle trinn.Alle trinn.Alle kjønn.Alle eierformer.Antall elever</t>
  </si>
  <si>
    <t>2021-22.Alle trinn.Alle trinn.Alle kjønn.Alle eierformer.Antall elever med individuelt tilrettelagt opplæring/spesialundervisning</t>
  </si>
  <si>
    <t>2021-22.Alle trinn.Alle trinn.Alle kjønn.Alle eierformer.Antall elever med forsterket opplæring i norsk</t>
  </si>
  <si>
    <t>2021-22.Alle trinn.Alle trinn.Alle kjønn.Alle eierformer.Antall skoler</t>
  </si>
  <si>
    <t>2022-23.Alle trinn.Alle trinn.Alle kjønn.Alle eierformer.Antall elever</t>
  </si>
  <si>
    <t>2022-23.Alle trinn.Alle trinn.Alle kjønn.Alle eierformer.Antall elever med individuelt tilrettelagt opplæring/spesialundervisning</t>
  </si>
  <si>
    <t>2022-23.Alle trinn.Alle trinn.Alle kjønn.Alle eierformer.Antall elever med forsterket opplæring i norsk</t>
  </si>
  <si>
    <t>2022-23.Alle trinn.Alle trinn.Alle kjønn.Alle eierformer.Antall skoler</t>
  </si>
  <si>
    <t>2023-24.Alle trinn.Alle trinn.Alle kjønn.Alle eierformer.Antall elever</t>
  </si>
  <si>
    <t>2023-24.Alle trinn.Alle trinn.Alle kjønn.Alle eierformer.Antall elever med individuelt tilrettelagt opplæring/spesialundervisning</t>
  </si>
  <si>
    <t>2023-24.Alle trinn.Alle trinn.Alle kjønn.Alle eierformer.Antall elever med forsterket opplæring i norsk</t>
  </si>
  <si>
    <t>2023-24.Alle trinn.Alle trinn.Alle kjønn.Alle eierformer.Antall skoler</t>
  </si>
  <si>
    <t>2024-25.Alle trinn.Alle trinn.Alle kjønn.Alle eierformer.Antall elever</t>
  </si>
  <si>
    <t>2024-25.Alle trinn.Alle trinn.Alle kjønn.Alle eierformer.Antall elever med individuelt tilrettelagt opplæring/spesialundervisning</t>
  </si>
  <si>
    <t>2024-25.Alle trinn.Alle trinn.Alle kjønn.Alle eierformer.Antall elever med forsterket opplæring i norsk</t>
  </si>
  <si>
    <t>2024-25.Alle trinn.Alle trinn.Alle kjønn.Alle eierformer.Antall skoler</t>
  </si>
  <si>
    <t>2025-26.Alle trinn.Alle trinn.Alle kjønn.Alle eierformer.Antall elever</t>
  </si>
  <si>
    <t>2025-26.Alle trinn.Alle trinn.Alle kjønn.Alle eierformer.Antall elever med individuelt tilrettelagt opplæring/spesialundervisning</t>
  </si>
  <si>
    <t>2025-26.Alle trinn.Alle trinn.Alle kjønn.Alle eierformer.Antall elever med forsterket opplæring i norsk</t>
  </si>
  <si>
    <t>2025-26.Alle trinn.Alle trinn.Alle kjønn.Alle eierformer.Antall skoler</t>
  </si>
  <si>
    <t>2021-22.Alle kjønn.Alle eierformer.Antall lærere</t>
  </si>
  <si>
    <t>2021-22.Alle kjønn.Alle eierformer.Antall lærerårsverk</t>
  </si>
  <si>
    <t>2021-22.Alle kjønn.Alle eierformer.Antall lærerårsverk til undervisning</t>
  </si>
  <si>
    <t>2021-22.Alle kjønn.Alle eierformer.Antall assistentårsverk i undervisningen</t>
  </si>
  <si>
    <t>2022-23.Alle kjønn.Alle eierformer.Antall lærere</t>
  </si>
  <si>
    <t>2022-23.Alle kjønn.Alle eierformer.Antall lærerårsverk</t>
  </si>
  <si>
    <t>2022-23.Alle kjønn.Alle eierformer.Antall lærerårsverk til undervisning</t>
  </si>
  <si>
    <t>2022-23.Alle kjønn.Alle eierformer.Antall assistentårsverk i undervisningen</t>
  </si>
  <si>
    <t>2023-24.Alle kjønn.Alle eierformer.Antall lærere</t>
  </si>
  <si>
    <t>2023-24.Alle kjønn.Alle eierformer.Antall lærerårsverk</t>
  </si>
  <si>
    <t>2023-24.Alle kjønn.Alle eierformer.Antall lærerårsverk til undervisning</t>
  </si>
  <si>
    <t>2023-24.Alle kjønn.Alle eierformer.Antall assistentårsverk i undervisningen</t>
  </si>
  <si>
    <t>2024-25.Alle kjønn.Alle eierformer.Antall lærere</t>
  </si>
  <si>
    <t>2024-25.Alle kjønn.Alle eierformer.Antall lærerårsverk</t>
  </si>
  <si>
    <t>2024-25.Alle kjønn.Alle eierformer.Antall lærerårsverk til undervisning</t>
  </si>
  <si>
    <t>2024-25.Alle kjønn.Alle eierformer.Antall assistentårsverk i undervisningen</t>
  </si>
  <si>
    <t>2025-26.Alle kjønn.Alle eierformer.Antall lærere</t>
  </si>
  <si>
    <t>2025-26.Alle kjønn.Alle eierformer.Antall lærerårsverk</t>
  </si>
  <si>
    <t>2025-26.Alle kjønn.Alle eierformer.Antall lærerårsverk til undervisning</t>
  </si>
  <si>
    <t>2025-26.Alle kjønn.Alle eierformer.Antall assistentårsverk i undervisningen</t>
  </si>
  <si>
    <t>2021-22.Alle trinn.Alle eierformer.Lærertetthet i ordinær undervisning</t>
  </si>
  <si>
    <t>2022-23.Alle trinn.Alle eierformer.Lærertetthet i ordinær undervisning</t>
  </si>
  <si>
    <t>2023-24.Alle trinn.Alle eierformer.Lærertetthet i ordinær undervisning</t>
  </si>
  <si>
    <t>2024-25.Alle trinn.Alle eierformer.Lærertetthet i ordinær undervisning</t>
  </si>
  <si>
    <t>2025-26.Alle trinn.Alle eierformer.Lærertetthet i ordinær undervisning</t>
  </si>
  <si>
    <t>Vurderingsfagkode</t>
  </si>
  <si>
    <t>Vurderingsfagnavn</t>
  </si>
  <si>
    <t>2021-22.Standpunkt.Alle eierformer.Alle kjønn.Snittkarakter</t>
  </si>
  <si>
    <t>2021-22.Standpunkt.Alle eierformer.Alle kjønn.Antall elever</t>
  </si>
  <si>
    <t>2022-23.Standpunkt.Alle eierformer.Alle kjønn.Snittkarakter</t>
  </si>
  <si>
    <t>2022-23.Standpunkt.Alle eierformer.Alle kjønn.Antall elever</t>
  </si>
  <si>
    <t>2023-24.Standpunkt.Alle eierformer.Alle kjønn.Snittkarakter</t>
  </si>
  <si>
    <t>2023-24.Standpunkt.Alle eierformer.Alle kjønn.Antall elever</t>
  </si>
  <si>
    <t>2024-25.Standpunkt.Alle eierformer.Alle kjønn.Snittkarakter</t>
  </si>
  <si>
    <t>2024-25.Standpunkt.Alle eierformer.Alle kjønn.Antall elever</t>
  </si>
  <si>
    <t>2022-23.Alle eierformer.Alle kjønn.Grunnskolepoeng</t>
  </si>
  <si>
    <t>2022-23.Alle eierformer.Alle kjønn.Antall elever</t>
  </si>
  <si>
    <t>2023-24.Alle eierformer.Alle kjønn.Grunnskolepoeng</t>
  </si>
  <si>
    <t>2023-24.Alle eierformer.Alle kjønn.Antall elever</t>
  </si>
  <si>
    <t>2024-25.Alle eierformer.Alle kjønn.Grunnskolepoeng</t>
  </si>
  <si>
    <t>2024-25.Alle eierformer.Alle kjønn.Antall elever</t>
  </si>
  <si>
    <t>2022-23.Engelsk.5. årstrinn.Alle eierformer.Alle kjønn.Skalapoeng</t>
  </si>
  <si>
    <t>2022-23.Engelsk.5. årstrinn.Alle eierformer.Alle kjønn.Usikkerhet</t>
  </si>
  <si>
    <t>2022-23.Engelsk.5. årstrinn.Alle eierformer.Alle kjønn.Antall elever deltatt</t>
  </si>
  <si>
    <t>2022-23.Lesing.5. årstrinn.Alle eierformer.Alle kjønn.Skalapoeng</t>
  </si>
  <si>
    <t>2022-23.Lesing.5. årstrinn.Alle eierformer.Alle kjønn.Usikkerhet</t>
  </si>
  <si>
    <t>2022-23.Lesing.5. årstrinn.Alle eierformer.Alle kjønn.Antall elever deltatt</t>
  </si>
  <si>
    <t>2022-23.Regning.5. årstrinn.Alle eierformer.Alle kjønn.Skalapoeng</t>
  </si>
  <si>
    <t>2022-23.Regning.5. årstrinn.Alle eierformer.Alle kjønn.Usikkerhet</t>
  </si>
  <si>
    <t>2022-23.Regning.5. årstrinn.Alle eierformer.Alle kjønn.Antall elever deltatt</t>
  </si>
  <si>
    <t>2023-24.Engelsk.5. årstrinn.Alle eierformer.Alle kjønn.Skalapoeng</t>
  </si>
  <si>
    <t>2023-24.Engelsk.5. årstrinn.Alle eierformer.Alle kjønn.Usikkerhet</t>
  </si>
  <si>
    <t>2023-24.Engelsk.5. årstrinn.Alle eierformer.Alle kjønn.Antall elever deltatt</t>
  </si>
  <si>
    <t>2023-24.Lesing.5. årstrinn.Alle eierformer.Alle kjønn.Skalapoeng</t>
  </si>
  <si>
    <t>2023-24.Lesing.5. årstrinn.Alle eierformer.Alle kjønn.Usikkerhet</t>
  </si>
  <si>
    <t>2023-24.Lesing.5. årstrinn.Alle eierformer.Alle kjønn.Antall elever deltatt</t>
  </si>
  <si>
    <t>2023-24.Regning.5. årstrinn.Alle eierformer.Alle kjønn.Skalapoeng</t>
  </si>
  <si>
    <t>2023-24.Regning.5. årstrinn.Alle eierformer.Alle kjønn.Usikkerhet</t>
  </si>
  <si>
    <t>2023-24.Regning.5. årstrinn.Alle eierformer.Alle kjønn.Antall elever deltatt</t>
  </si>
  <si>
    <t>2024-25.Engelsk.5. årstrinn.Alle eierformer.Alle kjønn.Skalapoeng</t>
  </si>
  <si>
    <t>2024-25.Engelsk.5. årstrinn.Alle eierformer.Alle kjønn.Usikkerhet</t>
  </si>
  <si>
    <t>2024-25.Engelsk.5. årstrinn.Alle eierformer.Alle kjønn.Antall elever deltatt</t>
  </si>
  <si>
    <t>2024-25.Lesing.5. årstrinn.Alle eierformer.Alle kjønn.Skalapoeng</t>
  </si>
  <si>
    <t>2024-25.Lesing.5. årstrinn.Alle eierformer.Alle kjønn.Usikkerhet</t>
  </si>
  <si>
    <t>2024-25.Lesing.5. årstrinn.Alle eierformer.Alle kjønn.Antall elever deltatt</t>
  </si>
  <si>
    <t>2024-25.Regning.5. årstrinn.Alle eierformer.Alle kjønn.Skalapoeng</t>
  </si>
  <si>
    <t>2024-25.Regning.5. årstrinn.Alle eierformer.Alle kjønn.Usikkerhet</t>
  </si>
  <si>
    <t>2024-25.Regning.5. årstrinn.Alle eierformer.Alle kjønn.Antall elever deltatt</t>
  </si>
  <si>
    <t>2025-26.Engelsk.5. årstrinn.Alle eierformer.Alle kjønn.Skalapoeng</t>
  </si>
  <si>
    <t>2025-26.Engelsk.5. årstrinn.Alle eierformer.Alle kjønn.Usikkerhet</t>
  </si>
  <si>
    <t>2025-26.Engelsk.5. årstrinn.Alle eierformer.Alle kjønn.Antall elever deltatt</t>
  </si>
  <si>
    <t>2025-26.Lesing.5. årstrinn.Alle eierformer.Alle kjønn.Skalapoeng</t>
  </si>
  <si>
    <t>2025-26.Lesing.5. årstrinn.Alle eierformer.Alle kjønn.Usikkerhet</t>
  </si>
  <si>
    <t>2025-26.Lesing.5. årstrinn.Alle eierformer.Alle kjønn.Antall elever deltatt</t>
  </si>
  <si>
    <t>2025-26.Regning.5. årstrinn.Alle eierformer.Alle kjønn.Skalapoeng</t>
  </si>
  <si>
    <t>2025-26.Regning.5. årstrinn.Alle eierformer.Alle kjønn.Usikkerhet</t>
  </si>
  <si>
    <t>2025-26.Regning.5. årstrinn.Alle eierformer.Alle kjønn.Antall elever deltatt</t>
  </si>
  <si>
    <t>2022-23.Engelsk.8. årstrinn.Alle eierformer.Alle kjønn.Skalapoeng</t>
  </si>
  <si>
    <t>2022-23.Engelsk.8. årstrinn.Alle eierformer.Alle kjønn.Usikkerhet</t>
  </si>
  <si>
    <t>2022-23.Engelsk.8. årstrinn.Alle eierformer.Alle kjønn.Antall elever deltatt</t>
  </si>
  <si>
    <t>2022-23.Lesing.8. årstrinn.Alle eierformer.Alle kjønn.Skalapoeng</t>
  </si>
  <si>
    <t>2022-23.Lesing.8. årstrinn.Alle eierformer.Alle kjønn.Usikkerhet</t>
  </si>
  <si>
    <t>2022-23.Lesing.8. årstrinn.Alle eierformer.Alle kjønn.Antall elever deltatt</t>
  </si>
  <si>
    <t>2022-23.Regning.8. årstrinn.Alle eierformer.Alle kjønn.Skalapoeng</t>
  </si>
  <si>
    <t>2022-23.Regning.8. årstrinn.Alle eierformer.Alle kjønn.Usikkerhet</t>
  </si>
  <si>
    <t>2022-23.Regning.8. årstrinn.Alle eierformer.Alle kjønn.Antall elever deltatt</t>
  </si>
  <si>
    <t>2023-24.Engelsk.8. årstrinn.Alle eierformer.Alle kjønn.Skalapoeng</t>
  </si>
  <si>
    <t>2023-24.Engelsk.8. årstrinn.Alle eierformer.Alle kjønn.Usikkerhet</t>
  </si>
  <si>
    <t>2023-24.Engelsk.8. årstrinn.Alle eierformer.Alle kjønn.Antall elever deltatt</t>
  </si>
  <si>
    <t>2023-24.Lesing.8. årstrinn.Alle eierformer.Alle kjønn.Skalapoeng</t>
  </si>
  <si>
    <t>2023-24.Lesing.8. årstrinn.Alle eierformer.Alle kjønn.Usikkerhet</t>
  </si>
  <si>
    <t>2023-24.Lesing.8. årstrinn.Alle eierformer.Alle kjønn.Antall elever deltatt</t>
  </si>
  <si>
    <t>2023-24.Regning.8. årstrinn.Alle eierformer.Alle kjønn.Skalapoeng</t>
  </si>
  <si>
    <t>2023-24.Regning.8. årstrinn.Alle eierformer.Alle kjønn.Usikkerhet</t>
  </si>
  <si>
    <t>2023-24.Regning.8. årstrinn.Alle eierformer.Alle kjønn.Antall elever deltatt</t>
  </si>
  <si>
    <t>2024-25.Engelsk.8. årstrinn.Alle eierformer.Alle kjønn.Skalapoeng</t>
  </si>
  <si>
    <t>2024-25.Engelsk.8. årstrinn.Alle eierformer.Alle kjønn.Usikkerhet</t>
  </si>
  <si>
    <t>2024-25.Engelsk.8. årstrinn.Alle eierformer.Alle kjønn.Antall elever deltatt</t>
  </si>
  <si>
    <t>2024-25.Lesing.8. årstrinn.Alle eierformer.Alle kjønn.Skalapoeng</t>
  </si>
  <si>
    <t>2024-25.Lesing.8. årstrinn.Alle eierformer.Alle kjønn.Usikkerhet</t>
  </si>
  <si>
    <t>2024-25.Lesing.8. årstrinn.Alle eierformer.Alle kjønn.Antall elever deltatt</t>
  </si>
  <si>
    <t>2024-25.Regning.8. årstrinn.Alle eierformer.Alle kjønn.Skalapoeng</t>
  </si>
  <si>
    <t>2024-25.Regning.8. årstrinn.Alle eierformer.Alle kjønn.Usikkerhet</t>
  </si>
  <si>
    <t>2024-25.Regning.8. årstrinn.Alle eierformer.Alle kjønn.Antall elever deltatt</t>
  </si>
  <si>
    <t>2025-26.Engelsk.8. årstrinn.Alle eierformer.Alle kjønn.Skalapoeng</t>
  </si>
  <si>
    <t>2025-26.Engelsk.8. årstrinn.Alle eierformer.Alle kjønn.Usikkerhet</t>
  </si>
  <si>
    <t>2025-26.Engelsk.8. årstrinn.Alle eierformer.Alle kjønn.Antall elever deltatt</t>
  </si>
  <si>
    <t>2025-26.Lesing.8. årstrinn.Alle eierformer.Alle kjønn.Skalapoeng</t>
  </si>
  <si>
    <t>2025-26.Lesing.8. årstrinn.Alle eierformer.Alle kjønn.Usikkerhet</t>
  </si>
  <si>
    <t>2025-26.Lesing.8. årstrinn.Alle eierformer.Alle kjønn.Antall elever deltatt</t>
  </si>
  <si>
    <t>2025-26.Regning.8. årstrinn.Alle eierformer.Alle kjønn.Skalapoeng</t>
  </si>
  <si>
    <t>2025-26.Regning.8. årstrinn.Alle eierformer.Alle kjønn.Usikkerhet</t>
  </si>
  <si>
    <t>2025-26.Regning.8. årstrinn.Alle eierformer.Alle kjønn.Antall elever deltatt</t>
  </si>
  <si>
    <t>2020-21.Alle eierformer.Alle kj?nn.Median dager</t>
  </si>
  <si>
    <t>2020-21.Alle eierformer.Alle kj?nn.Median timer</t>
  </si>
  <si>
    <t>2020-21.Alle eierformer.Alle kj?nn.Antall elever</t>
  </si>
  <si>
    <t>2021-22.Alle eierformer.Alle kj?nn.Median dager</t>
  </si>
  <si>
    <t>2021-22.Alle eierformer.Alle kj?nn.Median timer</t>
  </si>
  <si>
    <t>2021-22.Alle eierformer.Alle kj?nn.Antall elever</t>
  </si>
  <si>
    <t>2022-23.Alle eierformer.Alle kj?nn.Median dager</t>
  </si>
  <si>
    <t>2022-23.Alle eierformer.Alle kj?nn.Median timer</t>
  </si>
  <si>
    <t>2022-23.Alle eierformer.Alle kj?nn.Antall elever</t>
  </si>
  <si>
    <t>2023-24.Alle eierformer.Alle kj?nn.Median dager</t>
  </si>
  <si>
    <t>2023-24.Alle eierformer.Alle kj?nn.Median timer</t>
  </si>
  <si>
    <t>2023-24.Alle eierformer.Alle kj?nn.Antall elever</t>
  </si>
  <si>
    <t>2024-25.Alle eierformer.Alle kj?nn.Median dager</t>
  </si>
  <si>
    <t>2024-25.Alle eierformer.Alle kj?nn.Median timer</t>
  </si>
  <si>
    <t>2024-25.Alle eierformer.Alle kj?nn.Antall elever</t>
  </si>
  <si>
    <t>address</t>
  </si>
  <si>
    <t>I</t>
  </si>
  <si>
    <t>Hele landet</t>
  </si>
  <si>
    <t>Vestland</t>
  </si>
  <si>
    <t>Bergen</t>
  </si>
  <si>
    <t>Ådnamarka skule</t>
  </si>
  <si>
    <t>303</t>
  </si>
  <si>
    <t>19</t>
  </si>
  <si>
    <t>37</t>
  </si>
  <si>
    <t>325</t>
  </si>
  <si>
    <t>21</t>
  </si>
  <si>
    <t>52</t>
  </si>
  <si>
    <t>318</t>
  </si>
  <si>
    <t>29</t>
  </si>
  <si>
    <t>49</t>
  </si>
  <si>
    <t>327</t>
  </si>
  <si>
    <t>30</t>
  </si>
  <si>
    <t>61</t>
  </si>
  <si>
    <t>324</t>
  </si>
  <si>
    <t>27</t>
  </si>
  <si>
    <t>56</t>
  </si>
  <si>
    <t>27,0</t>
  </si>
  <si>
    <t>24,6</t>
  </si>
  <si>
    <t>4,0</t>
  </si>
  <si>
    <t>32</t>
  </si>
  <si>
    <t>28,7</t>
  </si>
  <si>
    <t>26,2</t>
  </si>
  <si>
    <t>4,5</t>
  </si>
  <si>
    <t>35</t>
  </si>
  <si>
    <t>29,9</t>
  </si>
  <si>
    <t>27,8</t>
  </si>
  <si>
    <t>6,1</t>
  </si>
  <si>
    <t>33</t>
  </si>
  <si>
    <t>29,1</t>
  </si>
  <si>
    <t>25,9</t>
  </si>
  <si>
    <t>3,9</t>
  </si>
  <si>
    <t>29,3</t>
  </si>
  <si>
    <t>26,1</t>
  </si>
  <si>
    <t>53</t>
  </si>
  <si>
    <t>2,9</t>
  </si>
  <si>
    <t>39</t>
  </si>
  <si>
    <t>2,8</t>
  </si>
  <si>
    <t>54</t>
  </si>
  <si>
    <t>3,2</t>
  </si>
  <si>
    <t>50</t>
  </si>
  <si>
    <t>3,3</t>
  </si>
  <si>
    <t>43</t>
  </si>
  <si>
    <t>47</t>
  </si>
  <si>
    <t>3,0</t>
  </si>
  <si>
    <t>42</t>
  </si>
  <si>
    <t>2,4</t>
  </si>
  <si>
    <t>2,5</t>
  </si>
  <si>
    <t>46</t>
  </si>
  <si>
    <t>48</t>
  </si>
  <si>
    <t>45</t>
  </si>
  <si>
    <t>Eikhaugen 20. 5262 Arnatveit</t>
  </si>
  <si>
    <t>Alle fylker</t>
  </si>
  <si>
    <t>Alle kommuner</t>
  </si>
  <si>
    <t>Alle skoler</t>
  </si>
  <si>
    <t>49 246</t>
  </si>
  <si>
    <t>39 725</t>
  </si>
  <si>
    <t>2 761</t>
  </si>
  <si>
    <t>636 934</t>
  </si>
  <si>
    <t>49 814</t>
  </si>
  <si>
    <t>43 949</t>
  </si>
  <si>
    <t>2 741</t>
  </si>
  <si>
    <t>637 051</t>
  </si>
  <si>
    <t>51 285</t>
  </si>
  <si>
    <t>48 046</t>
  </si>
  <si>
    <t>2 712</t>
  </si>
  <si>
    <t>631 369</t>
  </si>
  <si>
    <t>50 547</t>
  </si>
  <si>
    <t>49 055</t>
  </si>
  <si>
    <t>2 692</t>
  </si>
  <si>
    <t>621 961</t>
  </si>
  <si>
    <t>47 423</t>
  </si>
  <si>
    <t>46 356</t>
  </si>
  <si>
    <t>2 663</t>
  </si>
  <si>
    <t>70 068</t>
  </si>
  <si>
    <t>62 225,8</t>
  </si>
  <si>
    <t>56 080,3</t>
  </si>
  <si>
    <t>11 032,2</t>
  </si>
  <si>
    <t>70 154</t>
  </si>
  <si>
    <t>62 818,6</t>
  </si>
  <si>
    <t>56 565,3</t>
  </si>
  <si>
    <t>11 490,7</t>
  </si>
  <si>
    <t>70 381</t>
  </si>
  <si>
    <t>63 429,7</t>
  </si>
  <si>
    <t>57 055,0</t>
  </si>
  <si>
    <t>12 286,0</t>
  </si>
  <si>
    <t>69 853</t>
  </si>
  <si>
    <t>63 262,6</t>
  </si>
  <si>
    <t>56 799,2</t>
  </si>
  <si>
    <t>12 418,5</t>
  </si>
  <si>
    <t>68 664</t>
  </si>
  <si>
    <t>62 248,8</t>
  </si>
  <si>
    <t>55 827,2</t>
  </si>
  <si>
    <t>12 281,9</t>
  </si>
  <si>
    <t>ENG0030</t>
  </si>
  <si>
    <t>Engelsk 10. årstrinn</t>
  </si>
  <si>
    <t>4,3</t>
  </si>
  <si>
    <t>59 424</t>
  </si>
  <si>
    <t>59 054</t>
  </si>
  <si>
    <t>4,2</t>
  </si>
  <si>
    <t>60 726</t>
  </si>
  <si>
    <t>61 590</t>
  </si>
  <si>
    <t>42,4</t>
  </si>
  <si>
    <t>60 054</t>
  </si>
  <si>
    <t>42,2</t>
  </si>
  <si>
    <t>61 783</t>
  </si>
  <si>
    <t>62 683</t>
  </si>
  <si>
    <t>0,1</t>
  </si>
  <si>
    <t>55 704</t>
  </si>
  <si>
    <t>56 230</t>
  </si>
  <si>
    <t>55 245</t>
  </si>
  <si>
    <t>56 875</t>
  </si>
  <si>
    <t>56 408</t>
  </si>
  <si>
    <t>56 887</t>
  </si>
  <si>
    <t>51</t>
  </si>
  <si>
    <t>56 833</t>
  </si>
  <si>
    <t>56 155</t>
  </si>
  <si>
    <t>56 771</t>
  </si>
  <si>
    <t>56 929</t>
  </si>
  <si>
    <t>56 316</t>
  </si>
  <si>
    <t>56 921</t>
  </si>
  <si>
    <t>56 437</t>
  </si>
  <si>
    <t>57 393</t>
  </si>
  <si>
    <t>57 318</t>
  </si>
  <si>
    <t>61 993</t>
  </si>
  <si>
    <t>61 904</t>
  </si>
  <si>
    <t>62 092</t>
  </si>
  <si>
    <t>60 594</t>
  </si>
  <si>
    <t>60 348</t>
  </si>
  <si>
    <t>60 519</t>
  </si>
  <si>
    <t>60 728</t>
  </si>
  <si>
    <t>60 410</t>
  </si>
  <si>
    <t>60 666</t>
  </si>
  <si>
    <t>1,0</t>
  </si>
  <si>
    <t>2,0</t>
  </si>
  <si>
    <t>60 055</t>
  </si>
  <si>
    <t>63 763</t>
  </si>
  <si>
    <t>64 126</t>
  </si>
  <si>
    <t>8,0</t>
  </si>
  <si>
    <t>7,0</t>
  </si>
  <si>
    <t>66 450</t>
  </si>
  <si>
    <t>67 479</t>
  </si>
  <si>
    <t>76 772</t>
  </si>
  <si>
    <t>5 747</t>
  </si>
  <si>
    <t>3 995</t>
  </si>
  <si>
    <t>386</t>
  </si>
  <si>
    <t>77 124</t>
  </si>
  <si>
    <t>5 691</t>
  </si>
  <si>
    <t>4 376</t>
  </si>
  <si>
    <t>383</t>
  </si>
  <si>
    <t>76 929</t>
  </si>
  <si>
    <t>5 892</t>
  </si>
  <si>
    <t>4 763</t>
  </si>
  <si>
    <t>380</t>
  </si>
  <si>
    <t>76 118</t>
  </si>
  <si>
    <t>5 829</t>
  </si>
  <si>
    <t>5 243</t>
  </si>
  <si>
    <t>375</t>
  </si>
  <si>
    <t>74 819</t>
  </si>
  <si>
    <t>5 592</t>
  </si>
  <si>
    <t>4 583</t>
  </si>
  <si>
    <t>366</t>
  </si>
  <si>
    <t>8 748</t>
  </si>
  <si>
    <t>7 706,2</t>
  </si>
  <si>
    <t>6 940,0</t>
  </si>
  <si>
    <t>1 226,7</t>
  </si>
  <si>
    <t>8 684</t>
  </si>
  <si>
    <t>7 711,9</t>
  </si>
  <si>
    <t>6 943,5</t>
  </si>
  <si>
    <t>1 268,7</t>
  </si>
  <si>
    <t>8 779</t>
  </si>
  <si>
    <t>7 819,5</t>
  </si>
  <si>
    <t>7 023,8</t>
  </si>
  <si>
    <t>1 349,7</t>
  </si>
  <si>
    <t>8 715</t>
  </si>
  <si>
    <t>7 818,4</t>
  </si>
  <si>
    <t>7 003,7</t>
  </si>
  <si>
    <t>1 419,4</t>
  </si>
  <si>
    <t>8 454</t>
  </si>
  <si>
    <t>7 625,4</t>
  </si>
  <si>
    <t>6 825,6</t>
  </si>
  <si>
    <t>1 426,5</t>
  </si>
  <si>
    <t>ENG0029</t>
  </si>
  <si>
    <t>Fordypning i engelsk 10. årstrinn</t>
  </si>
  <si>
    <t>4,1</t>
  </si>
  <si>
    <t>1 126</t>
  </si>
  <si>
    <t>1 184</t>
  </si>
  <si>
    <t>1 000</t>
  </si>
  <si>
    <t>1 048</t>
  </si>
  <si>
    <t>42,8</t>
  </si>
  <si>
    <t>7 265</t>
  </si>
  <si>
    <t>7 433</t>
  </si>
  <si>
    <t>7 469</t>
  </si>
  <si>
    <t>0,2</t>
  </si>
  <si>
    <t>6 838</t>
  </si>
  <si>
    <t>6 948</t>
  </si>
  <si>
    <t>6 816</t>
  </si>
  <si>
    <t>6 770</t>
  </si>
  <si>
    <t>6 706</t>
  </si>
  <si>
    <t>6 777</t>
  </si>
  <si>
    <t>6 852</t>
  </si>
  <si>
    <t>6 812</t>
  </si>
  <si>
    <t>6 893</t>
  </si>
  <si>
    <t>7 024</t>
  </si>
  <si>
    <t>6 949</t>
  </si>
  <si>
    <t>7 005</t>
  </si>
  <si>
    <t>6 267</t>
  </si>
  <si>
    <t>6 421</t>
  </si>
  <si>
    <t>6 531</t>
  </si>
  <si>
    <t>7 509</t>
  </si>
  <si>
    <t>7 504</t>
  </si>
  <si>
    <t>7 529</t>
  </si>
  <si>
    <t>7 331</t>
  </si>
  <si>
    <t>7 341</t>
  </si>
  <si>
    <t>7 362</t>
  </si>
  <si>
    <t>7 286</t>
  </si>
  <si>
    <t>7 256</t>
  </si>
  <si>
    <t>7 298</t>
  </si>
  <si>
    <t>7 278</t>
  </si>
  <si>
    <t>7 594</t>
  </si>
  <si>
    <t>7 730</t>
  </si>
  <si>
    <t>9,0</t>
  </si>
  <si>
    <t>6,0</t>
  </si>
  <si>
    <t>7 962</t>
  </si>
  <si>
    <t>8 121</t>
  </si>
  <si>
    <t>30 739</t>
  </si>
  <si>
    <t>1 814</t>
  </si>
  <si>
    <t>2 155</t>
  </si>
  <si>
    <t>95</t>
  </si>
  <si>
    <t>30 973</t>
  </si>
  <si>
    <t>1 787</t>
  </si>
  <si>
    <t>2 311</t>
  </si>
  <si>
    <t>30 927</t>
  </si>
  <si>
    <t>1 943</t>
  </si>
  <si>
    <t>2 407</t>
  </si>
  <si>
    <t>94</t>
  </si>
  <si>
    <t>30 713</t>
  </si>
  <si>
    <t>1 971</t>
  </si>
  <si>
    <t>2 565</t>
  </si>
  <si>
    <t>30 382</t>
  </si>
  <si>
    <t>1 922</t>
  </si>
  <si>
    <t>2 138</t>
  </si>
  <si>
    <t>3 069</t>
  </si>
  <si>
    <t>2 787,4</t>
  </si>
  <si>
    <t>2 514,3</t>
  </si>
  <si>
    <t>376,7</t>
  </si>
  <si>
    <t>3 093</t>
  </si>
  <si>
    <t>2 831,3</t>
  </si>
  <si>
    <t>2 563,8</t>
  </si>
  <si>
    <t>384,4</t>
  </si>
  <si>
    <t>3 140</t>
  </si>
  <si>
    <t>2 901,5</t>
  </si>
  <si>
    <t>2 614,1</t>
  </si>
  <si>
    <t>411,7</t>
  </si>
  <si>
    <t>3 127</t>
  </si>
  <si>
    <t>2 855,2</t>
  </si>
  <si>
    <t>2 577,0</t>
  </si>
  <si>
    <t>420,7</t>
  </si>
  <si>
    <t>3 026</t>
  </si>
  <si>
    <t>2 811,0</t>
  </si>
  <si>
    <t>2 523,4</t>
  </si>
  <si>
    <t>436,6</t>
  </si>
  <si>
    <t>323</t>
  </si>
  <si>
    <t>316</t>
  </si>
  <si>
    <t>326</t>
  </si>
  <si>
    <t>296</t>
  </si>
  <si>
    <t>43,5</t>
  </si>
  <si>
    <t>2 820</t>
  </si>
  <si>
    <t>42,9</t>
  </si>
  <si>
    <t>2 943</t>
  </si>
  <si>
    <t>43,3</t>
  </si>
  <si>
    <t>2 908</t>
  </si>
  <si>
    <t>0,4</t>
  </si>
  <si>
    <t>2 567</t>
  </si>
  <si>
    <t>2 699</t>
  </si>
  <si>
    <t>2 543</t>
  </si>
  <si>
    <t>2 776</t>
  </si>
  <si>
    <t>2 748</t>
  </si>
  <si>
    <t>2 771</t>
  </si>
  <si>
    <t>0,3</t>
  </si>
  <si>
    <t>2 760</t>
  </si>
  <si>
    <t>2 746</t>
  </si>
  <si>
    <t>2 782</t>
  </si>
  <si>
    <t>2 913</t>
  </si>
  <si>
    <t>2 907</t>
  </si>
  <si>
    <t>2 900</t>
  </si>
  <si>
    <t>1 698</t>
  </si>
  <si>
    <t>1 827</t>
  </si>
  <si>
    <t>1 944</t>
  </si>
  <si>
    <t>2 985</t>
  </si>
  <si>
    <t>2 996</t>
  </si>
  <si>
    <t>2 988</t>
  </si>
  <si>
    <t>2 885</t>
  </si>
  <si>
    <t>2 873</t>
  </si>
  <si>
    <t>2 883</t>
  </si>
  <si>
    <t>2 891</t>
  </si>
  <si>
    <t>2 892</t>
  </si>
  <si>
    <t>2 898</t>
  </si>
  <si>
    <t>2 930</t>
  </si>
  <si>
    <t>2 999</t>
  </si>
  <si>
    <t>3 000</t>
  </si>
  <si>
    <t>10,0</t>
  </si>
  <si>
    <t>3 155</t>
  </si>
  <si>
    <t>3 152</t>
  </si>
  <si>
    <t>Alvøen skole</t>
  </si>
  <si>
    <t>364</t>
  </si>
  <si>
    <t>20</t>
  </si>
  <si>
    <t>23</t>
  </si>
  <si>
    <t>354</t>
  </si>
  <si>
    <t>18</t>
  </si>
  <si>
    <t>342</t>
  </si>
  <si>
    <t>353</t>
  </si>
  <si>
    <t>351</t>
  </si>
  <si>
    <t>15</t>
  </si>
  <si>
    <t>8</t>
  </si>
  <si>
    <t>28,1</t>
  </si>
  <si>
    <t>25,7</t>
  </si>
  <si>
    <t>28,8</t>
  </si>
  <si>
    <t>26,4</t>
  </si>
  <si>
    <t>3,1</t>
  </si>
  <si>
    <t>30,4</t>
  </si>
  <si>
    <t>27,7</t>
  </si>
  <si>
    <t>31</t>
  </si>
  <si>
    <t>28,0</t>
  </si>
  <si>
    <t>26,0</t>
  </si>
  <si>
    <t>29,5</t>
  </si>
  <si>
    <t>26,7</t>
  </si>
  <si>
    <t>2,6</t>
  </si>
  <si>
    <t>2,2</t>
  </si>
  <si>
    <t>55</t>
  </si>
  <si>
    <t>2,3</t>
  </si>
  <si>
    <t>Janaflaten 31, 5179 Godvik</t>
  </si>
  <si>
    <t>Apeltun skole</t>
  </si>
  <si>
    <t>311</t>
  </si>
  <si>
    <t>17</t>
  </si>
  <si>
    <t>10</t>
  </si>
  <si>
    <t>312</t>
  </si>
  <si>
    <t>13</t>
  </si>
  <si>
    <t>12</t>
  </si>
  <si>
    <t>299</t>
  </si>
  <si>
    <t>322</t>
  </si>
  <si>
    <t>6</t>
  </si>
  <si>
    <t>313</t>
  </si>
  <si>
    <t>24,5</t>
  </si>
  <si>
    <t>21,6</t>
  </si>
  <si>
    <t>25</t>
  </si>
  <si>
    <t>24,3</t>
  </si>
  <si>
    <t>21,7</t>
  </si>
  <si>
    <t>23,3</t>
  </si>
  <si>
    <t>20,6</t>
  </si>
  <si>
    <t>25,2</t>
  </si>
  <si>
    <t>22,8</t>
  </si>
  <si>
    <t>26</t>
  </si>
  <si>
    <t>25,1</t>
  </si>
  <si>
    <t>23,1</t>
  </si>
  <si>
    <t>3,4</t>
  </si>
  <si>
    <t>41</t>
  </si>
  <si>
    <t>40</t>
  </si>
  <si>
    <t>44</t>
  </si>
  <si>
    <t>Apeltunvegen 94, 5238 Rådal</t>
  </si>
  <si>
    <t>Åstveit skole</t>
  </si>
  <si>
    <t>456</t>
  </si>
  <si>
    <t>22</t>
  </si>
  <si>
    <t>9</t>
  </si>
  <si>
    <t>471</t>
  </si>
  <si>
    <t>462</t>
  </si>
  <si>
    <t>24</t>
  </si>
  <si>
    <t>410</t>
  </si>
  <si>
    <t>46,6</t>
  </si>
  <si>
    <t>10,4</t>
  </si>
  <si>
    <t>46,4</t>
  </si>
  <si>
    <t>43,1</t>
  </si>
  <si>
    <t>11,3</t>
  </si>
  <si>
    <t>47,5</t>
  </si>
  <si>
    <t>44,1</t>
  </si>
  <si>
    <t>7,9</t>
  </si>
  <si>
    <t>48,4</t>
  </si>
  <si>
    <t>8,2</t>
  </si>
  <si>
    <t>43,9</t>
  </si>
  <si>
    <t>39,6</t>
  </si>
  <si>
    <t>7,6</t>
  </si>
  <si>
    <t>146</t>
  </si>
  <si>
    <t>132</t>
  </si>
  <si>
    <t>4,4</t>
  </si>
  <si>
    <t>147</t>
  </si>
  <si>
    <t>142</t>
  </si>
  <si>
    <t>42,3</t>
  </si>
  <si>
    <t>135</t>
  </si>
  <si>
    <t>43,6</t>
  </si>
  <si>
    <t>0</t>
  </si>
  <si>
    <t>2,7</t>
  </si>
  <si>
    <t>1,7</t>
  </si>
  <si>
    <t>130</t>
  </si>
  <si>
    <t>1,6</t>
  </si>
  <si>
    <t>143</t>
  </si>
  <si>
    <t>1,5</t>
  </si>
  <si>
    <t>133</t>
  </si>
  <si>
    <t>1,4</t>
  </si>
  <si>
    <t>129</t>
  </si>
  <si>
    <t>1,9</t>
  </si>
  <si>
    <t>101</t>
  </si>
  <si>
    <t>99</t>
  </si>
  <si>
    <t>103</t>
  </si>
  <si>
    <t>148</t>
  </si>
  <si>
    <t>10,5</t>
  </si>
  <si>
    <t>150</t>
  </si>
  <si>
    <t>139</t>
  </si>
  <si>
    <t>12,0</t>
  </si>
  <si>
    <t>157</t>
  </si>
  <si>
    <t>171</t>
  </si>
  <si>
    <t>Tertnesvegen 33, 5119 Tertnes</t>
  </si>
  <si>
    <t>Aurdalslia skole</t>
  </si>
  <si>
    <t>402</t>
  </si>
  <si>
    <t>14</t>
  </si>
  <si>
    <t>16</t>
  </si>
  <si>
    <t>58</t>
  </si>
  <si>
    <t>396</t>
  </si>
  <si>
    <t>62</t>
  </si>
  <si>
    <t>407</t>
  </si>
  <si>
    <t>63</t>
  </si>
  <si>
    <t>412</t>
  </si>
  <si>
    <t>38</t>
  </si>
  <si>
    <t>32,2</t>
  </si>
  <si>
    <t>28,4</t>
  </si>
  <si>
    <t>32,4</t>
  </si>
  <si>
    <t>28,5</t>
  </si>
  <si>
    <t>34</t>
  </si>
  <si>
    <t>32,6</t>
  </si>
  <si>
    <t>36</t>
  </si>
  <si>
    <t>33,6</t>
  </si>
  <si>
    <t>30,0</t>
  </si>
  <si>
    <t>3,8</t>
  </si>
  <si>
    <t>32,8</t>
  </si>
  <si>
    <t>57</t>
  </si>
  <si>
    <t>60</t>
  </si>
  <si>
    <t>Aurdalslia 30, 5253 Sandsli</t>
  </si>
  <si>
    <t>Bergen kompetansesenter for Læringsmiljø</t>
  </si>
  <si>
    <t>*</t>
  </si>
  <si>
    <t>11,0</t>
  </si>
  <si>
    <t>1,3</t>
  </si>
  <si>
    <t>9,7</t>
  </si>
  <si>
    <t>11</t>
  </si>
  <si>
    <t>Bergen Kristne grunnskole</t>
  </si>
  <si>
    <t>198</t>
  </si>
  <si>
    <t>190</t>
  </si>
  <si>
    <t>28</t>
  </si>
  <si>
    <t>205</t>
  </si>
  <si>
    <t>236</t>
  </si>
  <si>
    <t>237</t>
  </si>
  <si>
    <t>23,4</t>
  </si>
  <si>
    <t>21,0</t>
  </si>
  <si>
    <t>7,3</t>
  </si>
  <si>
    <t>19,2</t>
  </si>
  <si>
    <t>17,0</t>
  </si>
  <si>
    <t>20,0</t>
  </si>
  <si>
    <t>22,7</t>
  </si>
  <si>
    <t>5,0</t>
  </si>
  <si>
    <t>27,4</t>
  </si>
  <si>
    <t>23,8</t>
  </si>
  <si>
    <t>4,7</t>
  </si>
  <si>
    <t>38,5</t>
  </si>
  <si>
    <t>45,1</t>
  </si>
  <si>
    <t>3,5</t>
  </si>
  <si>
    <t>3,6</t>
  </si>
  <si>
    <t>4,9</t>
  </si>
  <si>
    <t>5,5</t>
  </si>
  <si>
    <t>4,6</t>
  </si>
  <si>
    <t>17,5</t>
  </si>
  <si>
    <t>8,5</t>
  </si>
  <si>
    <t>Øvre Kråkenes 49, 5152 Bønes</t>
  </si>
  <si>
    <t>4,8</t>
  </si>
  <si>
    <t>Bjørgvin montessoriskole</t>
  </si>
  <si>
    <t>91</t>
  </si>
  <si>
    <t>12,7</t>
  </si>
  <si>
    <t>12,6</t>
  </si>
  <si>
    <t>0,7</t>
  </si>
  <si>
    <t>1,2</t>
  </si>
  <si>
    <t>2,1</t>
  </si>
  <si>
    <t>12,4</t>
  </si>
  <si>
    <t>12,2</t>
  </si>
  <si>
    <t>50,2</t>
  </si>
  <si>
    <t>48,7</t>
  </si>
  <si>
    <t>5,9</t>
  </si>
  <si>
    <t>5,7</t>
  </si>
  <si>
    <t>7,1</t>
  </si>
  <si>
    <t>5,8</t>
  </si>
  <si>
    <t>Storetveitvegen 86, 5072 Bergen</t>
  </si>
  <si>
    <t>Bjørndalsskogen skole</t>
  </si>
  <si>
    <t>7</t>
  </si>
  <si>
    <t>22,5</t>
  </si>
  <si>
    <t>20,2</t>
  </si>
  <si>
    <t>25,0</t>
  </si>
  <si>
    <t>21,4</t>
  </si>
  <si>
    <t>22,9</t>
  </si>
  <si>
    <t>Bjørndalsskogen 37, 5170 Bjørndalstræ</t>
  </si>
  <si>
    <t>Blokkhaugen skole</t>
  </si>
  <si>
    <t>295</t>
  </si>
  <si>
    <t>281</t>
  </si>
  <si>
    <t>287</t>
  </si>
  <si>
    <t>23,2</t>
  </si>
  <si>
    <t>23,5</t>
  </si>
  <si>
    <t>20,5</t>
  </si>
  <si>
    <t>1,8</t>
  </si>
  <si>
    <t>24,0</t>
  </si>
  <si>
    <t>23,6</t>
  </si>
  <si>
    <t>20,8</t>
  </si>
  <si>
    <t>21,2</t>
  </si>
  <si>
    <t>108</t>
  </si>
  <si>
    <t>40,2</t>
  </si>
  <si>
    <t>82</t>
  </si>
  <si>
    <t>42,1</t>
  </si>
  <si>
    <t>77</t>
  </si>
  <si>
    <t>73</t>
  </si>
  <si>
    <t>115</t>
  </si>
  <si>
    <t>116</t>
  </si>
  <si>
    <t>85</t>
  </si>
  <si>
    <t>86</t>
  </si>
  <si>
    <t>88</t>
  </si>
  <si>
    <t>93</t>
  </si>
  <si>
    <t>92</t>
  </si>
  <si>
    <t>84</t>
  </si>
  <si>
    <t>111</t>
  </si>
  <si>
    <t>87</t>
  </si>
  <si>
    <t>Myrdalsvegen 53, 5118 Ulset</t>
  </si>
  <si>
    <t>90</t>
  </si>
  <si>
    <t>76</t>
  </si>
  <si>
    <t>Bønes skole</t>
  </si>
  <si>
    <t>343</t>
  </si>
  <si>
    <t>370</t>
  </si>
  <si>
    <t>390</t>
  </si>
  <si>
    <t>395</t>
  </si>
  <si>
    <t>24,7</t>
  </si>
  <si>
    <t>22,4</t>
  </si>
  <si>
    <t>25,8</t>
  </si>
  <si>
    <t>27,6</t>
  </si>
  <si>
    <t>24,8</t>
  </si>
  <si>
    <t>30,1</t>
  </si>
  <si>
    <t>Bønesberget 1, 5153 Bønes</t>
  </si>
  <si>
    <t>Breimyra skole</t>
  </si>
  <si>
    <t>233</t>
  </si>
  <si>
    <t>231</t>
  </si>
  <si>
    <t>196</t>
  </si>
  <si>
    <t>192</t>
  </si>
  <si>
    <t>197</t>
  </si>
  <si>
    <t>18,5</t>
  </si>
  <si>
    <t>1,1</t>
  </si>
  <si>
    <t>21,5</t>
  </si>
  <si>
    <t>19,5</t>
  </si>
  <si>
    <t>16,7</t>
  </si>
  <si>
    <t>14,9</t>
  </si>
  <si>
    <t>18,4</t>
  </si>
  <si>
    <t>16,6</t>
  </si>
  <si>
    <t>18,1</t>
  </si>
  <si>
    <t>15,7</t>
  </si>
  <si>
    <t>3,7</t>
  </si>
  <si>
    <t>72</t>
  </si>
  <si>
    <t>39,8</t>
  </si>
  <si>
    <t>64</t>
  </si>
  <si>
    <t>41,5</t>
  </si>
  <si>
    <t>59</t>
  </si>
  <si>
    <t>66</t>
  </si>
  <si>
    <t>65</t>
  </si>
  <si>
    <t>67</t>
  </si>
  <si>
    <t>71</t>
  </si>
  <si>
    <t>0,0</t>
  </si>
  <si>
    <t>75</t>
  </si>
  <si>
    <t>Breimyra 68b, 5134 Flaktveit</t>
  </si>
  <si>
    <t>70</t>
  </si>
  <si>
    <t>Christi Krybbe Skoler</t>
  </si>
  <si>
    <t>173</t>
  </si>
  <si>
    <t>168</t>
  </si>
  <si>
    <t>176</t>
  </si>
  <si>
    <t>172</t>
  </si>
  <si>
    <t>13,6</t>
  </si>
  <si>
    <t>15,4</t>
  </si>
  <si>
    <t>14,8</t>
  </si>
  <si>
    <t>12,8</t>
  </si>
  <si>
    <t>15,2</t>
  </si>
  <si>
    <t>13,1</t>
  </si>
  <si>
    <t>0,9</t>
  </si>
  <si>
    <t>Vetrelidsallmenningen 10, 5014 Bergen</t>
  </si>
  <si>
    <t>Damsgård skole</t>
  </si>
  <si>
    <t>377</t>
  </si>
  <si>
    <t>405</t>
  </si>
  <si>
    <t>105</t>
  </si>
  <si>
    <t>408</t>
  </si>
  <si>
    <t>403</t>
  </si>
  <si>
    <t>102</t>
  </si>
  <si>
    <t>401</t>
  </si>
  <si>
    <t>30,5</t>
  </si>
  <si>
    <t>26,5</t>
  </si>
  <si>
    <t>29,2</t>
  </si>
  <si>
    <t>34,6</t>
  </si>
  <si>
    <t>34,5</t>
  </si>
  <si>
    <t>30,7</t>
  </si>
  <si>
    <t>34,4</t>
  </si>
  <si>
    <t>30,6</t>
  </si>
  <si>
    <t>Herman Grans vei 2, 5162 Laksevåg</t>
  </si>
  <si>
    <t>Eidsvåg skole</t>
  </si>
  <si>
    <t>243</t>
  </si>
  <si>
    <t>234</t>
  </si>
  <si>
    <t>220</t>
  </si>
  <si>
    <t>219</t>
  </si>
  <si>
    <t>18,7</t>
  </si>
  <si>
    <t>17,7</t>
  </si>
  <si>
    <t>18,0</t>
  </si>
  <si>
    <t>16,4</t>
  </si>
  <si>
    <t>15,0</t>
  </si>
  <si>
    <t>17,4</t>
  </si>
  <si>
    <t>16,0</t>
  </si>
  <si>
    <t>Granlien 1a, 5105 Eidsvåg</t>
  </si>
  <si>
    <t>Fjellsdalen skole</t>
  </si>
  <si>
    <t>399</t>
  </si>
  <si>
    <t>400</t>
  </si>
  <si>
    <t>409</t>
  </si>
  <si>
    <t>25,3</t>
  </si>
  <si>
    <t>29,0</t>
  </si>
  <si>
    <t>30,2</t>
  </si>
  <si>
    <t>29,7</t>
  </si>
  <si>
    <t>31,4</t>
  </si>
  <si>
    <t>28,3</t>
  </si>
  <si>
    <t>Fjellsdalen 15, 5155 Bønes</t>
  </si>
  <si>
    <t>Flaktveit skole</t>
  </si>
  <si>
    <t>302</t>
  </si>
  <si>
    <t>290</t>
  </si>
  <si>
    <t>262</t>
  </si>
  <si>
    <t>269</t>
  </si>
  <si>
    <t>26,3</t>
  </si>
  <si>
    <t>23,9</t>
  </si>
  <si>
    <t>27,3</t>
  </si>
  <si>
    <t>5,6</t>
  </si>
  <si>
    <t>27,1</t>
  </si>
  <si>
    <t>24,4</t>
  </si>
  <si>
    <t>5,3</t>
  </si>
  <si>
    <t>25,6</t>
  </si>
  <si>
    <t>Flaktveitsvingane 17, 5135 Flaktveit</t>
  </si>
  <si>
    <t>Foreningen Danielsen ungdomsskole Bergen</t>
  </si>
  <si>
    <t>270</t>
  </si>
  <si>
    <t>18,6</t>
  </si>
  <si>
    <t>19,8</t>
  </si>
  <si>
    <t>19,1</t>
  </si>
  <si>
    <t>22,3</t>
  </si>
  <si>
    <t>18,2</t>
  </si>
  <si>
    <t>44,6</t>
  </si>
  <si>
    <t>89</t>
  </si>
  <si>
    <t>44,5</t>
  </si>
  <si>
    <t>44,9</t>
  </si>
  <si>
    <t>St. Jørgens gate 8, 5018 Bergen</t>
  </si>
  <si>
    <t>Fridalen skole</t>
  </si>
  <si>
    <t>483</t>
  </si>
  <si>
    <t>496</t>
  </si>
  <si>
    <t>83</t>
  </si>
  <si>
    <t>96</t>
  </si>
  <si>
    <t>466</t>
  </si>
  <si>
    <t>79</t>
  </si>
  <si>
    <t>440</t>
  </si>
  <si>
    <t>41,8</t>
  </si>
  <si>
    <t>38,4</t>
  </si>
  <si>
    <t>5,2</t>
  </si>
  <si>
    <t>45,7</t>
  </si>
  <si>
    <t>6,2</t>
  </si>
  <si>
    <t>39,3</t>
  </si>
  <si>
    <t>6,5</t>
  </si>
  <si>
    <t>39,9</t>
  </si>
  <si>
    <t>36,5</t>
  </si>
  <si>
    <t>36,9</t>
  </si>
  <si>
    <t>80</t>
  </si>
  <si>
    <t>78</t>
  </si>
  <si>
    <t>Bøkeveien 19, 5093 Bergen</t>
  </si>
  <si>
    <t>Garnes skule</t>
  </si>
  <si>
    <t>338</t>
  </si>
  <si>
    <t>308</t>
  </si>
  <si>
    <t>Øvre Seimsmark 52. 5264 Garnes</t>
  </si>
  <si>
    <t>Garnes ungdomsskule</t>
  </si>
  <si>
    <t>453</t>
  </si>
  <si>
    <t>449</t>
  </si>
  <si>
    <t>472</t>
  </si>
  <si>
    <t>417</t>
  </si>
  <si>
    <t>438</t>
  </si>
  <si>
    <t>41,7</t>
  </si>
  <si>
    <t>35,6</t>
  </si>
  <si>
    <t>39,5</t>
  </si>
  <si>
    <t>41,9</t>
  </si>
  <si>
    <t>37,2</t>
  </si>
  <si>
    <t>37,4</t>
  </si>
  <si>
    <t>39,2</t>
  </si>
  <si>
    <t>33,5</t>
  </si>
  <si>
    <t>43,2</t>
  </si>
  <si>
    <t>131</t>
  </si>
  <si>
    <t>40,9</t>
  </si>
  <si>
    <t>175</t>
  </si>
  <si>
    <t>134</t>
  </si>
  <si>
    <t>121</t>
  </si>
  <si>
    <t>123</t>
  </si>
  <si>
    <t>124</t>
  </si>
  <si>
    <t>155</t>
  </si>
  <si>
    <t>159</t>
  </si>
  <si>
    <t>149</t>
  </si>
  <si>
    <t>181</t>
  </si>
  <si>
    <t>Garnesvegen 88. 5260 Indre Arna</t>
  </si>
  <si>
    <t xml:space="preserve">Gimle Oppveksttun skole </t>
  </si>
  <si>
    <t>564</t>
  </si>
  <si>
    <t>599</t>
  </si>
  <si>
    <t>611</t>
  </si>
  <si>
    <t>581</t>
  </si>
  <si>
    <t>565</t>
  </si>
  <si>
    <t>47,0</t>
  </si>
  <si>
    <t>51,4</t>
  </si>
  <si>
    <t>45,4</t>
  </si>
  <si>
    <t>55,6</t>
  </si>
  <si>
    <t>46,2</t>
  </si>
  <si>
    <t>46,1</t>
  </si>
  <si>
    <t>52,0</t>
  </si>
  <si>
    <t>42,6</t>
  </si>
  <si>
    <t>177</t>
  </si>
  <si>
    <t>42,5</t>
  </si>
  <si>
    <t>188</t>
  </si>
  <si>
    <t>45,0</t>
  </si>
  <si>
    <t>201</t>
  </si>
  <si>
    <t>199</t>
  </si>
  <si>
    <t>161</t>
  </si>
  <si>
    <t>163</t>
  </si>
  <si>
    <t>189</t>
  </si>
  <si>
    <t>187</t>
  </si>
  <si>
    <t>184</t>
  </si>
  <si>
    <t>206</t>
  </si>
  <si>
    <t>St. Olavs vei 20, 5052 Bergen</t>
  </si>
  <si>
    <t xml:space="preserve">Haukås skole </t>
  </si>
  <si>
    <t>230</t>
  </si>
  <si>
    <t>227</t>
  </si>
  <si>
    <t>212</t>
  </si>
  <si>
    <t>213</t>
  </si>
  <si>
    <t>19,3</t>
  </si>
  <si>
    <t>16,9</t>
  </si>
  <si>
    <t>16,3</t>
  </si>
  <si>
    <t>19,6</t>
  </si>
  <si>
    <t>17,3</t>
  </si>
  <si>
    <t>23,7</t>
  </si>
  <si>
    <t>Leikvangvegen 21, 5111 Breistein</t>
  </si>
  <si>
    <t xml:space="preserve">Haukedalen skole </t>
  </si>
  <si>
    <t>378</t>
  </si>
  <si>
    <t>367</t>
  </si>
  <si>
    <t>349</t>
  </si>
  <si>
    <t>362</t>
  </si>
  <si>
    <t>365</t>
  </si>
  <si>
    <t>31,9</t>
  </si>
  <si>
    <t>26,6</t>
  </si>
  <si>
    <t>24,9</t>
  </si>
  <si>
    <t>28,6</t>
  </si>
  <si>
    <t>Hesthaugvegen 91, 5119 Ulset</t>
  </si>
  <si>
    <t xml:space="preserve">Haukeland skole </t>
  </si>
  <si>
    <t>379</t>
  </si>
  <si>
    <t>373</t>
  </si>
  <si>
    <t>376</t>
  </si>
  <si>
    <t>361</t>
  </si>
  <si>
    <t>Stemmeveien 1, 5009 Bergen</t>
  </si>
  <si>
    <t xml:space="preserve">Hellen skole </t>
  </si>
  <si>
    <t>387</t>
  </si>
  <si>
    <t>393</t>
  </si>
  <si>
    <t>28,9</t>
  </si>
  <si>
    <t>29,6</t>
  </si>
  <si>
    <t>26,8</t>
  </si>
  <si>
    <t>5,4</t>
  </si>
  <si>
    <t>31,5</t>
  </si>
  <si>
    <t>Helleveien 118, 5043 Bergen</t>
  </si>
  <si>
    <t xml:space="preserve">Hjellestad skole </t>
  </si>
  <si>
    <t>221</t>
  </si>
  <si>
    <t>183</t>
  </si>
  <si>
    <t>14,5</t>
  </si>
  <si>
    <t>17,1</t>
  </si>
  <si>
    <t>13,3</t>
  </si>
  <si>
    <t>13,8</t>
  </si>
  <si>
    <t>Grendatuvegen 23, 5259 Hjellestad</t>
  </si>
  <si>
    <t xml:space="preserve">Holen skole </t>
  </si>
  <si>
    <t>498</t>
  </si>
  <si>
    <t>506</t>
  </si>
  <si>
    <t>543</t>
  </si>
  <si>
    <t>540</t>
  </si>
  <si>
    <t>44,8</t>
  </si>
  <si>
    <t>36,3</t>
  </si>
  <si>
    <t>40,5</t>
  </si>
  <si>
    <t>45,5</t>
  </si>
  <si>
    <t>40,0</t>
  </si>
  <si>
    <t>6,8</t>
  </si>
  <si>
    <t>114</t>
  </si>
  <si>
    <t>122</t>
  </si>
  <si>
    <t>0,5</t>
  </si>
  <si>
    <t>120</t>
  </si>
  <si>
    <t>Øvre Holen 6, 5163 Laksevåg</t>
  </si>
  <si>
    <t>100</t>
  </si>
  <si>
    <t xml:space="preserve">Hop Oppveksttun skole </t>
  </si>
  <si>
    <t>426</t>
  </si>
  <si>
    <t>420</t>
  </si>
  <si>
    <t>434</t>
  </si>
  <si>
    <t>36,2</t>
  </si>
  <si>
    <t>36,8</t>
  </si>
  <si>
    <t>42,7</t>
  </si>
  <si>
    <t>37,1</t>
  </si>
  <si>
    <t>7,5</t>
  </si>
  <si>
    <t>44,4</t>
  </si>
  <si>
    <t>97</t>
  </si>
  <si>
    <t>126</t>
  </si>
  <si>
    <t>125</t>
  </si>
  <si>
    <t>128</t>
  </si>
  <si>
    <t>127</t>
  </si>
  <si>
    <t>140</t>
  </si>
  <si>
    <t>162</t>
  </si>
  <si>
    <t>Kloppedalsvegen 18, 5232 Paradis</t>
  </si>
  <si>
    <t>119</t>
  </si>
  <si>
    <t xml:space="preserve">Hordvik skole </t>
  </si>
  <si>
    <t>273</t>
  </si>
  <si>
    <t>276</t>
  </si>
  <si>
    <t>267</t>
  </si>
  <si>
    <t>278</t>
  </si>
  <si>
    <t>264</t>
  </si>
  <si>
    <t>22,6</t>
  </si>
  <si>
    <t>22,1</t>
  </si>
  <si>
    <t>20,7</t>
  </si>
  <si>
    <t>19,7</t>
  </si>
  <si>
    <t>20,1</t>
  </si>
  <si>
    <t>Midtre Prestavegen 18, 5108 Hordvik</t>
  </si>
  <si>
    <t xml:space="preserve">International School Of Bergen avd skole </t>
  </si>
  <si>
    <t>14,3</t>
  </si>
  <si>
    <t>0,8</t>
  </si>
  <si>
    <t>29,8</t>
  </si>
  <si>
    <t>25,4</t>
  </si>
  <si>
    <t>Sandslihaugen 36, 5254 Sandsli</t>
  </si>
  <si>
    <t xml:space="preserve">Kaland skole </t>
  </si>
  <si>
    <t>271</t>
  </si>
  <si>
    <t>268</t>
  </si>
  <si>
    <t>247</t>
  </si>
  <si>
    <t>10,2</t>
  </si>
  <si>
    <t>27,9</t>
  </si>
  <si>
    <t>7,2</t>
  </si>
  <si>
    <t>Osvegen 331, 5229 Kalandseidet</t>
  </si>
  <si>
    <t xml:space="preserve">Kalvatræet skole </t>
  </si>
  <si>
    <t>138</t>
  </si>
  <si>
    <t>141</t>
  </si>
  <si>
    <t>145</t>
  </si>
  <si>
    <t>15,5</t>
  </si>
  <si>
    <t>10,6</t>
  </si>
  <si>
    <t>15,9</t>
  </si>
  <si>
    <t>11,7</t>
  </si>
  <si>
    <t>17,2</t>
  </si>
  <si>
    <t>10,1</t>
  </si>
  <si>
    <t>18,3</t>
  </si>
  <si>
    <t>16,1</t>
  </si>
  <si>
    <t>15,6</t>
  </si>
  <si>
    <t>6,4</t>
  </si>
  <si>
    <t>Kalvatræet 37, 5106 Øvre Ervik</t>
  </si>
  <si>
    <t xml:space="preserve">Kirkevoll skole </t>
  </si>
  <si>
    <t>574</t>
  </si>
  <si>
    <t>590</t>
  </si>
  <si>
    <t>570</t>
  </si>
  <si>
    <t>558</t>
  </si>
  <si>
    <t>41,2</t>
  </si>
  <si>
    <t>40,3</t>
  </si>
  <si>
    <t>44,7</t>
  </si>
  <si>
    <t>41,4</t>
  </si>
  <si>
    <t>39,0</t>
  </si>
  <si>
    <t>68</t>
  </si>
  <si>
    <t>Fanavegen 314, 5244 Fana</t>
  </si>
  <si>
    <t>69</t>
  </si>
  <si>
    <t xml:space="preserve">Kjøkkelvik skole </t>
  </si>
  <si>
    <t>510</t>
  </si>
  <si>
    <t>518</t>
  </si>
  <si>
    <t>487</t>
  </si>
  <si>
    <t>485</t>
  </si>
  <si>
    <t>486</t>
  </si>
  <si>
    <t>43,7</t>
  </si>
  <si>
    <t>38,3</t>
  </si>
  <si>
    <t>43,8</t>
  </si>
  <si>
    <t>38,8</t>
  </si>
  <si>
    <t>38,1</t>
  </si>
  <si>
    <t>34,8</t>
  </si>
  <si>
    <t>36,7</t>
  </si>
  <si>
    <t>74</t>
  </si>
  <si>
    <t>Kjøkkelvikveien 27, 5178 Loddefjord</t>
  </si>
  <si>
    <t xml:space="preserve">Kringlebotn skole </t>
  </si>
  <si>
    <t>251</t>
  </si>
  <si>
    <t>254</t>
  </si>
  <si>
    <t>17,9</t>
  </si>
  <si>
    <t>21,3</t>
  </si>
  <si>
    <t>8,4</t>
  </si>
  <si>
    <t>Kringlebotn 221, 5225 Nesttun</t>
  </si>
  <si>
    <t xml:space="preserve">Krohnengen skole </t>
  </si>
  <si>
    <t>432</t>
  </si>
  <si>
    <t>422</t>
  </si>
  <si>
    <t>397</t>
  </si>
  <si>
    <t>381</t>
  </si>
  <si>
    <t>33,4</t>
  </si>
  <si>
    <t>33,2</t>
  </si>
  <si>
    <t>35,4</t>
  </si>
  <si>
    <t>31,1</t>
  </si>
  <si>
    <t>35,1</t>
  </si>
  <si>
    <t>Professor Dahls gate 35, 5031 Bergen</t>
  </si>
  <si>
    <t xml:space="preserve">Krokeide skole </t>
  </si>
  <si>
    <t>5,1</t>
  </si>
  <si>
    <t>5</t>
  </si>
  <si>
    <t>Krokeidevegen 579, 5244 Fana</t>
  </si>
  <si>
    <t xml:space="preserve">Kronstad Oppveksttun skole </t>
  </si>
  <si>
    <t>194</t>
  </si>
  <si>
    <t>208</t>
  </si>
  <si>
    <t>240</t>
  </si>
  <si>
    <t>249</t>
  </si>
  <si>
    <t>18,8</t>
  </si>
  <si>
    <t>18,9</t>
  </si>
  <si>
    <t>Edvard Griegs vei 29, 5053 Bergen</t>
  </si>
  <si>
    <t xml:space="preserve">Kyrkjekrinsen skole </t>
  </si>
  <si>
    <t>431</t>
  </si>
  <si>
    <t>419</t>
  </si>
  <si>
    <t>414</t>
  </si>
  <si>
    <t>35,7</t>
  </si>
  <si>
    <t>31,7</t>
  </si>
  <si>
    <t>41,0</t>
  </si>
  <si>
    <t>33,1</t>
  </si>
  <si>
    <t>32,5</t>
  </si>
  <si>
    <t>Åsamyrane 304, 5131 Nyborg</t>
  </si>
  <si>
    <t xml:space="preserve">Landås skole </t>
  </si>
  <si>
    <t>474</t>
  </si>
  <si>
    <t>478</t>
  </si>
  <si>
    <t>468</t>
  </si>
  <si>
    <t>454</t>
  </si>
  <si>
    <t>465</t>
  </si>
  <si>
    <t>9,8</t>
  </si>
  <si>
    <t>43,4</t>
  </si>
  <si>
    <t>40,4</t>
  </si>
  <si>
    <t>37,5</t>
  </si>
  <si>
    <t>11,8</t>
  </si>
  <si>
    <t>38,2</t>
  </si>
  <si>
    <t>13,5</t>
  </si>
  <si>
    <t>11,4</t>
  </si>
  <si>
    <t>Landåsveien 33b, 5097 Bergen</t>
  </si>
  <si>
    <t xml:space="preserve">Li skole </t>
  </si>
  <si>
    <t>256</t>
  </si>
  <si>
    <t>248</t>
  </si>
  <si>
    <t>258</t>
  </si>
  <si>
    <t>20,9</t>
  </si>
  <si>
    <t>20,4</t>
  </si>
  <si>
    <t>Liakroken 29, 5132 Nyborg</t>
  </si>
  <si>
    <t xml:space="preserve">Liland skole </t>
  </si>
  <si>
    <t>291</t>
  </si>
  <si>
    <t>286</t>
  </si>
  <si>
    <t>292</t>
  </si>
  <si>
    <t>307</t>
  </si>
  <si>
    <t>25,5</t>
  </si>
  <si>
    <t>Lilandsvegen 50, 5258 Blomsterdalen</t>
  </si>
  <si>
    <t xml:space="preserve">Loddefjord skole </t>
  </si>
  <si>
    <t>179</t>
  </si>
  <si>
    <t>182</t>
  </si>
  <si>
    <t>27,5</t>
  </si>
  <si>
    <t>13,2</t>
  </si>
  <si>
    <t>21,9</t>
  </si>
  <si>
    <t>14,6</t>
  </si>
  <si>
    <t>24,2</t>
  </si>
  <si>
    <t>13,7</t>
  </si>
  <si>
    <t>Elvetun 27, 5172 Loddefjord</t>
  </si>
  <si>
    <t xml:space="preserve">Lone skule </t>
  </si>
  <si>
    <t>Lonaleitet 131. 5268 Haukeland</t>
  </si>
  <si>
    <t xml:space="preserve">Løvås Oppveksttun - skole </t>
  </si>
  <si>
    <t>232</t>
  </si>
  <si>
    <t>Nebbeveien 1, 5144 Fyllingsdalen</t>
  </si>
  <si>
    <t xml:space="preserve">Lynghaug skole </t>
  </si>
  <si>
    <t>350</t>
  </si>
  <si>
    <t>31,2</t>
  </si>
  <si>
    <t>34,1</t>
  </si>
  <si>
    <t>32,3</t>
  </si>
  <si>
    <t>33,7</t>
  </si>
  <si>
    <t>37,0</t>
  </si>
  <si>
    <t>35,0</t>
  </si>
  <si>
    <t>41,1</t>
  </si>
  <si>
    <t>104</t>
  </si>
  <si>
    <t>107</t>
  </si>
  <si>
    <t>Dag Hammaskjölds vei 7, 5144 Fyllingsdalen</t>
  </si>
  <si>
    <t>98</t>
  </si>
  <si>
    <t xml:space="preserve">Lyshovden Oppveksttun avd skole </t>
  </si>
  <si>
    <t>214</t>
  </si>
  <si>
    <t>Lillehatten 3, 5148 Fyllingsdalen</t>
  </si>
  <si>
    <t xml:space="preserve">Mathopen skole </t>
  </si>
  <si>
    <t>298</t>
  </si>
  <si>
    <t>297</t>
  </si>
  <si>
    <t>315</t>
  </si>
  <si>
    <t>314</t>
  </si>
  <si>
    <t>21,8</t>
  </si>
  <si>
    <t>Kongsmyrveien 1, 5174 Mathopen</t>
  </si>
  <si>
    <t xml:space="preserve">Midtun skole </t>
  </si>
  <si>
    <t>355</t>
  </si>
  <si>
    <t>398</t>
  </si>
  <si>
    <t>389</t>
  </si>
  <si>
    <t>32,9</t>
  </si>
  <si>
    <t>34,3</t>
  </si>
  <si>
    <t>31,3</t>
  </si>
  <si>
    <t>30,3</t>
  </si>
  <si>
    <t>Osvegen 10, 5228 Nesttun</t>
  </si>
  <si>
    <t xml:space="preserve">Minde skole </t>
  </si>
  <si>
    <t>266</t>
  </si>
  <si>
    <t>255</t>
  </si>
  <si>
    <t>261</t>
  </si>
  <si>
    <t>252</t>
  </si>
  <si>
    <t>22,2</t>
  </si>
  <si>
    <t>20,3</t>
  </si>
  <si>
    <t>6,9</t>
  </si>
  <si>
    <t>22,0</t>
  </si>
  <si>
    <t>8,3</t>
  </si>
  <si>
    <t>Grønnestølsveien 22, 5073 Bergen</t>
  </si>
  <si>
    <t xml:space="preserve">Mjølkeråen skole </t>
  </si>
  <si>
    <t>690</t>
  </si>
  <si>
    <t>702</t>
  </si>
  <si>
    <t>682</t>
  </si>
  <si>
    <t>675</t>
  </si>
  <si>
    <t>673</t>
  </si>
  <si>
    <t>54,4</t>
  </si>
  <si>
    <t>49,5</t>
  </si>
  <si>
    <t>50,9</t>
  </si>
  <si>
    <t>57,3</t>
  </si>
  <si>
    <t>52,1</t>
  </si>
  <si>
    <t>51,8</t>
  </si>
  <si>
    <t>51,6</t>
  </si>
  <si>
    <t>106</t>
  </si>
  <si>
    <t>117</t>
  </si>
  <si>
    <t>13,0</t>
  </si>
  <si>
    <t>Marikollen 31b, 5136 Mjølkeråen</t>
  </si>
  <si>
    <t xml:space="preserve">Møhlenpris Oppveksttun avd skole </t>
  </si>
  <si>
    <t>289</t>
  </si>
  <si>
    <t>285</t>
  </si>
  <si>
    <t>275</t>
  </si>
  <si>
    <t>Thormøhlens gate 25, 5006 Bergen</t>
  </si>
  <si>
    <t xml:space="preserve">Møllebakken skole </t>
  </si>
  <si>
    <t>11,9</t>
  </si>
  <si>
    <t>10,7</t>
  </si>
  <si>
    <t>9,4</t>
  </si>
  <si>
    <t>12,9</t>
  </si>
  <si>
    <t>10,9</t>
  </si>
  <si>
    <t>11,1</t>
  </si>
  <si>
    <t>41,6</t>
  </si>
  <si>
    <t>31,0</t>
  </si>
  <si>
    <t>Jørgen Moes gate 26, 5053 Bergen</t>
  </si>
  <si>
    <t xml:space="preserve">Nattland skole </t>
  </si>
  <si>
    <t>754</t>
  </si>
  <si>
    <t>742</t>
  </si>
  <si>
    <t>728</t>
  </si>
  <si>
    <t>707</t>
  </si>
  <si>
    <t>680</t>
  </si>
  <si>
    <t>71,7</t>
  </si>
  <si>
    <t>60,8</t>
  </si>
  <si>
    <t>66,9</t>
  </si>
  <si>
    <t>60,9</t>
  </si>
  <si>
    <t>67,6</t>
  </si>
  <si>
    <t>61,3</t>
  </si>
  <si>
    <t>69,0</t>
  </si>
  <si>
    <t>62,2</t>
  </si>
  <si>
    <t>67,2</t>
  </si>
  <si>
    <t>60,2</t>
  </si>
  <si>
    <t>109</t>
  </si>
  <si>
    <t>46,9</t>
  </si>
  <si>
    <t>112</t>
  </si>
  <si>
    <t>Merkurvegen 30, 5099 Bergen</t>
  </si>
  <si>
    <t xml:space="preserve">Nordnes skole </t>
  </si>
  <si>
    <t>238</t>
  </si>
  <si>
    <t>241</t>
  </si>
  <si>
    <t>12,3</t>
  </si>
  <si>
    <t>10,8</t>
  </si>
  <si>
    <t>8,8</t>
  </si>
  <si>
    <t>Nordnesparken 3, 5007 Bergen</t>
  </si>
  <si>
    <t xml:space="preserve">Norges Toppidrettsgymnas ungdomsskole Bergen AS </t>
  </si>
  <si>
    <t>15,8</t>
  </si>
  <si>
    <t>14,2</t>
  </si>
  <si>
    <t>46,8</t>
  </si>
  <si>
    <t>Kniksens Plass 1, 5063 Bergen</t>
  </si>
  <si>
    <t xml:space="preserve">Ny Krohnborg skole </t>
  </si>
  <si>
    <t>394</t>
  </si>
  <si>
    <t>416</t>
  </si>
  <si>
    <t>152</t>
  </si>
  <si>
    <t>38,7</t>
  </si>
  <si>
    <t>36,0</t>
  </si>
  <si>
    <t>38,6</t>
  </si>
  <si>
    <t>12,5</t>
  </si>
  <si>
    <t>14,0</t>
  </si>
  <si>
    <t>Rogagaten 9, 5055 Bergen</t>
  </si>
  <si>
    <t xml:space="preserve">Nygårdslien skole </t>
  </si>
  <si>
    <t>280</t>
  </si>
  <si>
    <t>279</t>
  </si>
  <si>
    <t>23,0</t>
  </si>
  <si>
    <t>Nygårdslien 3, 5164 Laksevåg</t>
  </si>
  <si>
    <t xml:space="preserve">Olsvik skole </t>
  </si>
  <si>
    <t>642</t>
  </si>
  <si>
    <t>624</t>
  </si>
  <si>
    <t>613</t>
  </si>
  <si>
    <t>608</t>
  </si>
  <si>
    <t>54,7</t>
  </si>
  <si>
    <t>47,4</t>
  </si>
  <si>
    <t>53,8</t>
  </si>
  <si>
    <t>53,2</t>
  </si>
  <si>
    <t>53,9</t>
  </si>
  <si>
    <t>52,2</t>
  </si>
  <si>
    <t>44,3</t>
  </si>
  <si>
    <t>43,0</t>
  </si>
  <si>
    <t>Olsvikåsen 51, 5183 Olsvik</t>
  </si>
  <si>
    <t xml:space="preserve">Ortun skole </t>
  </si>
  <si>
    <t>470</t>
  </si>
  <si>
    <t>413</t>
  </si>
  <si>
    <t>37,9</t>
  </si>
  <si>
    <t>51,7</t>
  </si>
  <si>
    <t>46,0</t>
  </si>
  <si>
    <t>32,7</t>
  </si>
  <si>
    <t>Torgny Segerstedts vei 14, 5143 Fyllingsdalen</t>
  </si>
  <si>
    <t xml:space="preserve">Paradis skole </t>
  </si>
  <si>
    <t>489</t>
  </si>
  <si>
    <t>490</t>
  </si>
  <si>
    <t>479</t>
  </si>
  <si>
    <t>475</t>
  </si>
  <si>
    <t>34,0</t>
  </si>
  <si>
    <t>36,6</t>
  </si>
  <si>
    <t>35,9</t>
  </si>
  <si>
    <t>Statsminister Michelsens veg 55, 5230 Paradis</t>
  </si>
  <si>
    <t xml:space="preserve">Rå skole </t>
  </si>
  <si>
    <t>458</t>
  </si>
  <si>
    <t>406</t>
  </si>
  <si>
    <t>35,2</t>
  </si>
  <si>
    <t>44,0</t>
  </si>
  <si>
    <t>118</t>
  </si>
  <si>
    <t>151</t>
  </si>
  <si>
    <t>144</t>
  </si>
  <si>
    <t>170</t>
  </si>
  <si>
    <t>Steinsvikvegen 393, 5239 Rådal</t>
  </si>
  <si>
    <t>166</t>
  </si>
  <si>
    <t xml:space="preserve">Rådalslien skole </t>
  </si>
  <si>
    <t>418</t>
  </si>
  <si>
    <t>421</t>
  </si>
  <si>
    <t>136</t>
  </si>
  <si>
    <t>137</t>
  </si>
  <si>
    <t>Rådalslien 95, 5239 Rådal</t>
  </si>
  <si>
    <t xml:space="preserve">Rolland skole </t>
  </si>
  <si>
    <t>319</t>
  </si>
  <si>
    <t>306</t>
  </si>
  <si>
    <t>Åslia 13, 5115 Ulset</t>
  </si>
  <si>
    <t xml:space="preserve">Rothaugen skole </t>
  </si>
  <si>
    <t>572</t>
  </si>
  <si>
    <t>600</t>
  </si>
  <si>
    <t>625</t>
  </si>
  <si>
    <t>598</t>
  </si>
  <si>
    <t>593</t>
  </si>
  <si>
    <t>49,4</t>
  </si>
  <si>
    <t>58,9</t>
  </si>
  <si>
    <t>55,1</t>
  </si>
  <si>
    <t>49,1</t>
  </si>
  <si>
    <t>57,0</t>
  </si>
  <si>
    <t>50,5</t>
  </si>
  <si>
    <t>186</t>
  </si>
  <si>
    <t>211</t>
  </si>
  <si>
    <t>203</t>
  </si>
  <si>
    <t>210</t>
  </si>
  <si>
    <t>160</t>
  </si>
  <si>
    <t>154</t>
  </si>
  <si>
    <t>158</t>
  </si>
  <si>
    <t>180</t>
  </si>
  <si>
    <t>204</t>
  </si>
  <si>
    <t>Rotthaugsgaten 10, 5033 Bergen</t>
  </si>
  <si>
    <t xml:space="preserve">Rudolf steinerskolen i Bergen skolen </t>
  </si>
  <si>
    <t>239</t>
  </si>
  <si>
    <t>218</t>
  </si>
  <si>
    <t>Rieber-Mohns veg 15, 5230 Paradis</t>
  </si>
  <si>
    <t xml:space="preserve">Sædalen skole </t>
  </si>
  <si>
    <t>358</t>
  </si>
  <si>
    <t>340</t>
  </si>
  <si>
    <t>331</t>
  </si>
  <si>
    <t>29,4</t>
  </si>
  <si>
    <t>26,9</t>
  </si>
  <si>
    <t>Nye Sædalsvegen 190, 5099 Bergen</t>
  </si>
  <si>
    <t xml:space="preserve">Sælen Oppveksttun avd skole </t>
  </si>
  <si>
    <t>253</t>
  </si>
  <si>
    <t>263</t>
  </si>
  <si>
    <t>19,9</t>
  </si>
  <si>
    <t>Torgny Segerstedts vei 4, 5143 Fyllingsdalen</t>
  </si>
  <si>
    <t xml:space="preserve">Salhus skule </t>
  </si>
  <si>
    <t>9,9</t>
  </si>
  <si>
    <t>9,1</t>
  </si>
  <si>
    <t>9,6</t>
  </si>
  <si>
    <t>8,9</t>
  </si>
  <si>
    <t>11,6</t>
  </si>
  <si>
    <t>6,6</t>
  </si>
  <si>
    <t>Vikavegen 30, 5107 Salhus</t>
  </si>
  <si>
    <t xml:space="preserve">Sandgotna skole </t>
  </si>
  <si>
    <t>382</t>
  </si>
  <si>
    <t>51,9</t>
  </si>
  <si>
    <t>11,2</t>
  </si>
  <si>
    <t>48,6</t>
  </si>
  <si>
    <t>49,2</t>
  </si>
  <si>
    <t>47,3</t>
  </si>
  <si>
    <t>110</t>
  </si>
  <si>
    <t>42,0</t>
  </si>
  <si>
    <t>113</t>
  </si>
  <si>
    <t>Elvetun 18, 5172 Loddefjord</t>
  </si>
  <si>
    <t xml:space="preserve">Seljedalen skole </t>
  </si>
  <si>
    <t>202</t>
  </si>
  <si>
    <t>16,5</t>
  </si>
  <si>
    <t>Vestlundveien 50, 5145 Fyllingsdalen</t>
  </si>
  <si>
    <t xml:space="preserve">Skeie skole </t>
  </si>
  <si>
    <t>424</t>
  </si>
  <si>
    <t>385</t>
  </si>
  <si>
    <t>363</t>
  </si>
  <si>
    <t>Råtræet 37, 5239 Rådal</t>
  </si>
  <si>
    <t xml:space="preserve">Skjold skole </t>
  </si>
  <si>
    <t>335</t>
  </si>
  <si>
    <t>304</t>
  </si>
  <si>
    <t>24,1</t>
  </si>
  <si>
    <t>Fanavegen 59, 5239 Rådal</t>
  </si>
  <si>
    <t>Skranevatnet skole</t>
  </si>
  <si>
    <t>623</t>
  </si>
  <si>
    <t>659</t>
  </si>
  <si>
    <t>650</t>
  </si>
  <si>
    <t>639</t>
  </si>
  <si>
    <t>55,9</t>
  </si>
  <si>
    <t>50,3</t>
  </si>
  <si>
    <t>59,0</t>
  </si>
  <si>
    <t>52,7</t>
  </si>
  <si>
    <t>55,2</t>
  </si>
  <si>
    <t>48,8</t>
  </si>
  <si>
    <t>53,7</t>
  </si>
  <si>
    <t>45,8</t>
  </si>
  <si>
    <t>45,9</t>
  </si>
  <si>
    <t>Sandslivegen 98, 5254 Sandsli</t>
  </si>
  <si>
    <t>Slåtthaug skole</t>
  </si>
  <si>
    <t>447</t>
  </si>
  <si>
    <t>40,6</t>
  </si>
  <si>
    <t>40,1</t>
  </si>
  <si>
    <t>33,9</t>
  </si>
  <si>
    <t>39,7</t>
  </si>
  <si>
    <t>11,5</t>
  </si>
  <si>
    <t>Slåtthaugvegen 38, 5222 Nesttun</t>
  </si>
  <si>
    <t>Slettebakken skole</t>
  </si>
  <si>
    <t>369</t>
  </si>
  <si>
    <t>35,3</t>
  </si>
  <si>
    <t>10,3</t>
  </si>
  <si>
    <t>37,7</t>
  </si>
  <si>
    <t>9,2</t>
  </si>
  <si>
    <t>Vilhelm Bjerknes`vei 15, 5081 Bergen</t>
  </si>
  <si>
    <t>Smørås skole</t>
  </si>
  <si>
    <t>225</t>
  </si>
  <si>
    <t>235</t>
  </si>
  <si>
    <t>16,8</t>
  </si>
  <si>
    <t>19,0</t>
  </si>
  <si>
    <t>Nedre Smøråsvegen 28, 5238 Rådal</t>
  </si>
  <si>
    <t>Søråshøgda skole</t>
  </si>
  <si>
    <t>678</t>
  </si>
  <si>
    <t>676</t>
  </si>
  <si>
    <t>688</t>
  </si>
  <si>
    <t>645</t>
  </si>
  <si>
    <t>53,0</t>
  </si>
  <si>
    <t>50,0</t>
  </si>
  <si>
    <t>Søråshøgda 301, 5235 Rådal</t>
  </si>
  <si>
    <t>Søreide skole</t>
  </si>
  <si>
    <t>535</t>
  </si>
  <si>
    <t>524</t>
  </si>
  <si>
    <t>515</t>
  </si>
  <si>
    <t>511</t>
  </si>
  <si>
    <t>488</t>
  </si>
  <si>
    <t>41,3</t>
  </si>
  <si>
    <t>38,0</t>
  </si>
  <si>
    <t>6,3</t>
  </si>
  <si>
    <t>33,3</t>
  </si>
  <si>
    <t>31,6</t>
  </si>
  <si>
    <t>Nordeidåsen 5, 5251 Søreidgrend</t>
  </si>
  <si>
    <t>St Paul skole</t>
  </si>
  <si>
    <t>341</t>
  </si>
  <si>
    <t>33,8</t>
  </si>
  <si>
    <t>45,6</t>
  </si>
  <si>
    <t>Christies gate 16, 5015 Bergen</t>
  </si>
  <si>
    <t>Steinerskolen på Skjold Helseped Avdeling</t>
  </si>
  <si>
    <t>15,1</t>
  </si>
  <si>
    <t>0,6</t>
  </si>
  <si>
    <t>Harald Skjolds Veg 32, 5236 Rådal</t>
  </si>
  <si>
    <t>Stiftelsen Davinci montessoriskole</t>
  </si>
  <si>
    <t>13,4</t>
  </si>
  <si>
    <t>13,9</t>
  </si>
  <si>
    <t>46,5</t>
  </si>
  <si>
    <t>48,2</t>
  </si>
  <si>
    <t>6,7</t>
  </si>
  <si>
    <t>Stiftelsen montessoriskolen i Bergen</t>
  </si>
  <si>
    <t>153</t>
  </si>
  <si>
    <t>Torgny Segerstedts vei 27, 5143 Fyllingsdalen</t>
  </si>
  <si>
    <t>Stiftelsen steinerskolen på Skjold</t>
  </si>
  <si>
    <t>21,1</t>
  </si>
  <si>
    <t>7,8</t>
  </si>
  <si>
    <t>Storetveit skole</t>
  </si>
  <si>
    <t>423</t>
  </si>
  <si>
    <t>435</t>
  </si>
  <si>
    <t>436</t>
  </si>
  <si>
    <t>33,0</t>
  </si>
  <si>
    <t>35,5</t>
  </si>
  <si>
    <t>40,8</t>
  </si>
  <si>
    <t>46,3</t>
  </si>
  <si>
    <t>Storetveitvegen 125, 5231 Paradis</t>
  </si>
  <si>
    <t>Tertnes skole</t>
  </si>
  <si>
    <t>Grønskjeret 5, 5114 Tertnes</t>
  </si>
  <si>
    <t>Trengereid Oppveksttun Avd skule (Nedlagt)</t>
  </si>
  <si>
    <t>4</t>
  </si>
  <si>
    <t>2</t>
  </si>
  <si>
    <t>Tveiterås skole</t>
  </si>
  <si>
    <t>12,1</t>
  </si>
  <si>
    <t>Haakon Sæthres veg 42, 5232 Paradis</t>
  </si>
  <si>
    <t>Ulsetskogen skole</t>
  </si>
  <si>
    <t>259</t>
  </si>
  <si>
    <t>257</t>
  </si>
  <si>
    <t>19,4</t>
  </si>
  <si>
    <t>Ulsetskogen 14, 5119 Ulset</t>
  </si>
  <si>
    <t>Ulsmåg skole</t>
  </si>
  <si>
    <t>557</t>
  </si>
  <si>
    <t>563</t>
  </si>
  <si>
    <t>561</t>
  </si>
  <si>
    <t>534</t>
  </si>
  <si>
    <t>45,2</t>
  </si>
  <si>
    <t>40,7</t>
  </si>
  <si>
    <t>Totlandsvegen 53, 5224 Nesttun</t>
  </si>
  <si>
    <t>Vadmyra skole</t>
  </si>
  <si>
    <t>246</t>
  </si>
  <si>
    <t>250</t>
  </si>
  <si>
    <t>Lyngfaret 121, 5172 Loddefjord</t>
  </si>
  <si>
    <t>Varden skole</t>
  </si>
  <si>
    <t>384</t>
  </si>
  <si>
    <t>30,9</t>
  </si>
  <si>
    <t>27,2</t>
  </si>
  <si>
    <t>Vardeveien 71, 5141 Fyllingsdalen</t>
  </si>
  <si>
    <t>Ytre Arna skule</t>
  </si>
  <si>
    <t>229</t>
  </si>
  <si>
    <t>Bankvegen 11. 5265 Ytre Arna</t>
  </si>
  <si>
    <t>Ytrebygda skole</t>
  </si>
  <si>
    <t>346</t>
  </si>
  <si>
    <t>345</t>
  </si>
  <si>
    <t>Skagevegen 38, 5258 Blomsterdalen</t>
  </si>
  <si>
    <t>Gimle Oppveksttun skole</t>
  </si>
  <si>
    <t>Haukås skole</t>
  </si>
  <si>
    <t>Haukedalen skole</t>
  </si>
  <si>
    <t>Haukeland skole</t>
  </si>
  <si>
    <t>Hellen skole</t>
  </si>
  <si>
    <t>Hjellestad skole</t>
  </si>
  <si>
    <t>Holen skole</t>
  </si>
  <si>
    <t>Hop Oppveksttun skole</t>
  </si>
  <si>
    <t>Hordvik skole</t>
  </si>
  <si>
    <t>International School Of Bergen avd skole</t>
  </si>
  <si>
    <t>Kaland skole</t>
  </si>
  <si>
    <t>Kalvatræet skole</t>
  </si>
  <si>
    <t>Kirkevoll skole</t>
  </si>
  <si>
    <t>Kjøkkelvik skole</t>
  </si>
  <si>
    <t>Kringlebotn skole</t>
  </si>
  <si>
    <t>Krohnengen skole</t>
  </si>
  <si>
    <t>Krokeide skole</t>
  </si>
  <si>
    <t>Kronstad Oppveksttun skole</t>
  </si>
  <si>
    <t>Kyrkjekrinsen skole</t>
  </si>
  <si>
    <t>Landås skole</t>
  </si>
  <si>
    <t>Li skole</t>
  </si>
  <si>
    <t>Liland skole</t>
  </si>
  <si>
    <t>Loddefjord skole</t>
  </si>
  <si>
    <t>Lone skule</t>
  </si>
  <si>
    <t>Løvås Oppveksttun - skole</t>
  </si>
  <si>
    <t>Lynghaug skole</t>
  </si>
  <si>
    <t>Lyshovden Oppveksttun avd skole</t>
  </si>
  <si>
    <t>Mathopen skole</t>
  </si>
  <si>
    <t>Midtun skole</t>
  </si>
  <si>
    <t>Minde skole</t>
  </si>
  <si>
    <t>Mjølkeråen skole</t>
  </si>
  <si>
    <t>8,7</t>
  </si>
  <si>
    <t>Møhlenpris Oppveksttun avd skole</t>
  </si>
  <si>
    <t>Møllebakken skole</t>
  </si>
  <si>
    <t>Nattland skole</t>
  </si>
  <si>
    <t>Nordnes skole</t>
  </si>
  <si>
    <t>Norges Toppidrettsgymnas ungdomsskole Bergen AS</t>
  </si>
  <si>
    <t>Ny Krohnborg skole</t>
  </si>
  <si>
    <t>Nygårdslien skole</t>
  </si>
  <si>
    <t>8,6</t>
  </si>
  <si>
    <t>Olsvik skole</t>
  </si>
  <si>
    <t>14,7</t>
  </si>
  <si>
    <t>Ortun skole</t>
  </si>
  <si>
    <t>Paradis skole</t>
  </si>
  <si>
    <t>Rå skole</t>
  </si>
  <si>
    <t>Rådalslien skole</t>
  </si>
  <si>
    <t>Rolland skole</t>
  </si>
  <si>
    <t>Rothaugen skole</t>
  </si>
  <si>
    <t>Rudolf steinerskolen i Bergen skolen</t>
  </si>
  <si>
    <t>Sædalen skole</t>
  </si>
  <si>
    <t>Sælen Oppveksttun avd skole</t>
  </si>
  <si>
    <t>Salhus skule</t>
  </si>
  <si>
    <t>Sandgotna skole</t>
  </si>
  <si>
    <t>Seljedalen skole</t>
  </si>
  <si>
    <t>Skeie skole</t>
  </si>
  <si>
    <t>Skjold skole</t>
  </si>
  <si>
    <t>Spoersmaalnavn</t>
  </si>
  <si>
    <t xml:space="preserve">Alvøen skole </t>
  </si>
  <si>
    <t xml:space="preserve">Apeltun skole </t>
  </si>
  <si>
    <t xml:space="preserve">Aurdalslia skole </t>
  </si>
  <si>
    <t xml:space="preserve">Bergen Kristne grunn skole </t>
  </si>
  <si>
    <t xml:space="preserve">Bjørgvin montessoriskole </t>
  </si>
  <si>
    <t xml:space="preserve">Bjørndalsskogen skole </t>
  </si>
  <si>
    <t xml:space="preserve">Bønes skole </t>
  </si>
  <si>
    <t xml:space="preserve">Damsgård skole </t>
  </si>
  <si>
    <t xml:space="preserve">Eidsvåg skole </t>
  </si>
  <si>
    <t xml:space="preserve">Fjellsdalen skole </t>
  </si>
  <si>
    <t xml:space="preserve">Flaktveit skole </t>
  </si>
  <si>
    <t xml:space="preserve">Fridalen skole </t>
  </si>
  <si>
    <t xml:space="preserve">Salhus skule skole </t>
  </si>
  <si>
    <t xml:space="preserve">Skranevatnet skole </t>
  </si>
  <si>
    <t xml:space="preserve">Slettebakken skole </t>
  </si>
  <si>
    <t xml:space="preserve">Smørås skole </t>
  </si>
  <si>
    <t xml:space="preserve">St Paul skole </t>
  </si>
  <si>
    <t xml:space="preserve">Stiftelsen Davinci montessoriskole </t>
  </si>
  <si>
    <t xml:space="preserve">Stiftelsen montessoriskolen i Bergen </t>
  </si>
  <si>
    <t xml:space="preserve">Søreide skole </t>
  </si>
  <si>
    <t xml:space="preserve">Søråshøgda skole </t>
  </si>
  <si>
    <t xml:space="preserve">Ulsmåg skole </t>
  </si>
  <si>
    <t xml:space="preserve">Ådnamarka skule </t>
  </si>
  <si>
    <t>school_name</t>
  </si>
  <si>
    <t>Bergen Kristne grunn skole</t>
  </si>
  <si>
    <t>Damsgård</t>
  </si>
  <si>
    <t>Danielsen Ungdomsskole Bergen</t>
  </si>
  <si>
    <t>Gimle oppveksttun</t>
  </si>
  <si>
    <t>Hop oppveksttun</t>
  </si>
  <si>
    <t>International School Of Bergen</t>
  </si>
  <si>
    <t>Kronstad skole</t>
  </si>
  <si>
    <t>Lyshovden oppveksttun</t>
  </si>
  <si>
    <t>Løvås oppveksttun</t>
  </si>
  <si>
    <t>Møhlenpris skole</t>
  </si>
  <si>
    <t>Nattland oppveksttun</t>
  </si>
  <si>
    <t>Nordnes oppveksttun</t>
  </si>
  <si>
    <t>Norges Toppidrettsgymnas ungdomsskole Bergen</t>
  </si>
  <si>
    <t>Ny-Krohnborg skole</t>
  </si>
  <si>
    <t>Rudolf Steinerskolen i Bergen</t>
  </si>
  <si>
    <t>Salhus skule skole</t>
  </si>
  <si>
    <t>St. Paul skole</t>
  </si>
  <si>
    <t>Steinerskolen på Skjold</t>
  </si>
  <si>
    <t>Sælen oppveksttun</t>
  </si>
  <si>
    <t>Address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</si>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</sst>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H113"/>
  <sheetViews>
    <sheetView workbookViewId="0">
      <selection activeCell="E104" sqref="E104"/>
    </sheetView>
  </sheetViews>
  <sheetFormatPr defaultRowHeight="16.5" x14ac:dyDescent="0.25"/>
  <cols>
    <col min="1" max="1" width="13.5" bestFit="1" customWidth="1"/>
    <col min="2" max="2" width="16" bestFit="1" customWidth="1"/>
    <col min="3" max="3" width="12.5" bestFit="1" customWidth="1"/>
    <col min="4" max="4" width="16.75" bestFit="1" customWidth="1"/>
    <col min="5" max="5" width="23.5" bestFit="1" customWidth="1"/>
    <col min="6" max="6" width="11.625" bestFit="1" customWidth="1"/>
    <col min="7" max="7" width="9.75" bestFit="1" customWidth="1"/>
    <col min="8" max="8" width="13.875" bestFit="1" customWidth="1"/>
    <col min="9" max="9" width="46.25" hidden="1" customWidth="1"/>
    <col min="10" max="10" width="46.25" customWidth="1"/>
    <col min="11" max="11" width="46.25" hidden="1" customWidth="1"/>
    <col min="12" max="15" width="46.25" customWidth="1"/>
    <col min="16" max="16" width="67.625" bestFit="1" customWidth="1"/>
    <col min="17" max="18" width="80.75" bestFit="1" customWidth="1"/>
    <col min="19" max="20" width="67.625" bestFit="1" customWidth="1"/>
    <col min="21" max="22" width="80.75" bestFit="1" customWidth="1"/>
    <col min="23" max="24" width="67.625" bestFit="1" customWidth="1"/>
    <col min="25" max="26" width="80.75" bestFit="1" customWidth="1"/>
    <col min="27" max="28" width="67.625" bestFit="1" customWidth="1"/>
    <col min="29" max="30" width="80.75" bestFit="1" customWidth="1"/>
    <col min="31" max="32" width="67.625" bestFit="1" customWidth="1"/>
    <col min="33" max="34" width="80.75" bestFit="1" customWidth="1"/>
    <col min="35" max="35" width="67.625" bestFit="1" customWidth="1"/>
    <col min="36" max="36" width="48.875" bestFit="1" customWidth="1"/>
    <col min="37" max="37" width="54.875" bestFit="1" customWidth="1"/>
    <col min="38" max="38" width="70" bestFit="1" customWidth="1"/>
    <col min="39" max="39" width="73.75" bestFit="1" customWidth="1"/>
    <col min="40" max="40" width="48.875" bestFit="1" customWidth="1"/>
    <col min="41" max="41" width="54.875" bestFit="1" customWidth="1"/>
    <col min="42" max="42" width="70" bestFit="1" customWidth="1"/>
    <col min="43" max="43" width="73.75" bestFit="1" customWidth="1"/>
    <col min="44" max="44" width="48.875" bestFit="1" customWidth="1"/>
    <col min="45" max="45" width="54.875" bestFit="1" customWidth="1"/>
    <col min="46" max="46" width="70" bestFit="1" customWidth="1"/>
    <col min="47" max="47" width="73.75" bestFit="1" customWidth="1"/>
    <col min="48" max="48" width="48.875" bestFit="1" customWidth="1"/>
    <col min="49" max="49" width="54.875" bestFit="1" customWidth="1"/>
    <col min="50" max="50" width="70" bestFit="1" customWidth="1"/>
    <col min="51" max="51" width="73.75" bestFit="1" customWidth="1"/>
    <col min="52" max="52" width="48.875" bestFit="1" customWidth="1"/>
    <col min="53" max="53" width="54.875" bestFit="1" customWidth="1"/>
    <col min="54" max="54" width="70" bestFit="1" customWidth="1"/>
    <col min="55" max="55" width="73.75" bestFit="1" customWidth="1"/>
    <col min="56" max="60" width="69.125" bestFit="1" customWidth="1"/>
    <col min="61" max="61" width="20.5" bestFit="1" customWidth="1"/>
    <col min="62" max="62" width="28.5" bestFit="1" customWidth="1"/>
    <col min="63" max="70" width="59.5" bestFit="1" customWidth="1"/>
    <col min="71" max="71" width="52.625" bestFit="1" customWidth="1"/>
    <col min="72" max="72" width="48.5" bestFit="1" customWidth="1"/>
    <col min="73" max="73" width="52.625" bestFit="1" customWidth="1"/>
    <col min="74" max="74" width="48.5" bestFit="1" customWidth="1"/>
    <col min="75" max="75" width="52.625" bestFit="1" customWidth="1"/>
    <col min="76" max="76" width="48.5" bestFit="1" customWidth="1"/>
    <col min="77" max="77" width="65.5" bestFit="1" customWidth="1"/>
    <col min="78" max="78" width="64.875" bestFit="1" customWidth="1"/>
    <col min="79" max="79" width="73.25" bestFit="1" customWidth="1"/>
    <col min="80" max="80" width="64.375" bestFit="1" customWidth="1"/>
    <col min="81" max="81" width="63.75" bestFit="1" customWidth="1"/>
    <col min="82" max="82" width="72.125" bestFit="1" customWidth="1"/>
    <col min="83" max="83" width="65.75" bestFit="1" customWidth="1"/>
    <col min="84" max="84" width="65.125" bestFit="1" customWidth="1"/>
    <col min="85" max="85" width="73.5" bestFit="1" customWidth="1"/>
    <col min="86" max="86" width="65.5" bestFit="1" customWidth="1"/>
    <col min="87" max="87" width="64.875" bestFit="1" customWidth="1"/>
    <col min="88" max="88" width="73.25" bestFit="1" customWidth="1"/>
    <col min="89" max="89" width="64.375" bestFit="1" customWidth="1"/>
    <col min="90" max="90" width="63.75" bestFit="1" customWidth="1"/>
    <col min="91" max="91" width="72.125" bestFit="1" customWidth="1"/>
    <col min="92" max="92" width="65.75" bestFit="1" customWidth="1"/>
    <col min="93" max="93" width="65.125" bestFit="1" customWidth="1"/>
    <col min="94" max="94" width="73.5" bestFit="1" customWidth="1"/>
    <col min="95" max="95" width="65.5" bestFit="1" customWidth="1"/>
    <col min="96" max="96" width="64.875" bestFit="1" customWidth="1"/>
    <col min="97" max="97" width="73.25" bestFit="1" customWidth="1"/>
    <col min="98" max="98" width="64.375" bestFit="1" customWidth="1"/>
    <col min="99" max="99" width="63.75" bestFit="1" customWidth="1"/>
    <col min="100" max="100" width="72.125" bestFit="1" customWidth="1"/>
    <col min="101" max="101" width="65.75" bestFit="1" customWidth="1"/>
    <col min="102" max="102" width="65.125" bestFit="1" customWidth="1"/>
    <col min="103" max="103" width="73.5" bestFit="1" customWidth="1"/>
    <col min="104" max="104" width="65.5" bestFit="1" customWidth="1"/>
    <col min="105" max="105" width="64.875" bestFit="1" customWidth="1"/>
    <col min="106" max="106" width="73.25" bestFit="1" customWidth="1"/>
    <col min="107" max="107" width="64.375" bestFit="1" customWidth="1"/>
    <col min="108" max="108" width="63.75" bestFit="1" customWidth="1"/>
    <col min="109" max="109" width="72.125" bestFit="1" customWidth="1"/>
    <col min="110" max="110" width="65.75" bestFit="1" customWidth="1"/>
    <col min="111" max="111" width="65.125" bestFit="1" customWidth="1"/>
    <col min="112" max="112" width="73.5" bestFit="1" customWidth="1"/>
    <col min="113" max="113" width="65.5" bestFit="1" customWidth="1"/>
    <col min="114" max="114" width="64.875" bestFit="1" customWidth="1"/>
    <col min="115" max="115" width="73.25" bestFit="1" customWidth="1"/>
    <col min="116" max="116" width="64.375" bestFit="1" customWidth="1"/>
    <col min="117" max="117" width="63.75" bestFit="1" customWidth="1"/>
    <col min="118" max="118" width="72.125" bestFit="1" customWidth="1"/>
    <col min="119" max="119" width="65.75" bestFit="1" customWidth="1"/>
    <col min="120" max="120" width="65.125" bestFit="1" customWidth="1"/>
    <col min="121" max="121" width="73.5" bestFit="1" customWidth="1"/>
    <col min="122" max="122" width="65.5" bestFit="1" customWidth="1"/>
    <col min="123" max="123" width="64.875" bestFit="1" customWidth="1"/>
    <col min="124" max="124" width="73.25" bestFit="1" customWidth="1"/>
    <col min="125" max="125" width="64.375" bestFit="1" customWidth="1"/>
    <col min="126" max="126" width="63.75" bestFit="1" customWidth="1"/>
    <col min="127" max="127" width="72.125" bestFit="1" customWidth="1"/>
    <col min="128" max="128" width="65.75" bestFit="1" customWidth="1"/>
    <col min="129" max="129" width="65.125" bestFit="1" customWidth="1"/>
    <col min="130" max="130" width="73.5" bestFit="1" customWidth="1"/>
    <col min="131" max="131" width="65.5" bestFit="1" customWidth="1"/>
    <col min="132" max="132" width="64.875" bestFit="1" customWidth="1"/>
    <col min="133" max="133" width="73.25" bestFit="1" customWidth="1"/>
    <col min="134" max="134" width="64.375" bestFit="1" customWidth="1"/>
    <col min="135" max="135" width="63.75" bestFit="1" customWidth="1"/>
    <col min="136" max="136" width="72.125" bestFit="1" customWidth="1"/>
    <col min="137" max="137" width="65.75" bestFit="1" customWidth="1"/>
    <col min="138" max="138" width="65.125" bestFit="1" customWidth="1"/>
    <col min="139" max="139" width="73.5" bestFit="1" customWidth="1"/>
    <col min="140" max="140" width="65.5" bestFit="1" customWidth="1"/>
    <col min="141" max="141" width="64.875" bestFit="1" customWidth="1"/>
    <col min="142" max="142" width="73.25" bestFit="1" customWidth="1"/>
    <col min="143" max="143" width="64.375" bestFit="1" customWidth="1"/>
    <col min="144" max="144" width="63.75" bestFit="1" customWidth="1"/>
    <col min="145" max="145" width="72.125" bestFit="1" customWidth="1"/>
    <col min="146" max="146" width="65.75" bestFit="1" customWidth="1"/>
    <col min="147" max="147" width="65.125" bestFit="1" customWidth="1"/>
    <col min="148" max="148" width="73.5" bestFit="1" customWidth="1"/>
    <col min="149" max="149" width="49.125" bestFit="1" customWidth="1"/>
    <col min="150" max="150" width="48.875" bestFit="1" customWidth="1"/>
    <col min="151" max="151" width="48.5" bestFit="1" customWidth="1"/>
    <col min="152" max="152" width="49.125" bestFit="1" customWidth="1"/>
    <col min="153" max="153" width="48.875" bestFit="1" customWidth="1"/>
    <col min="154" max="154" width="48.5" bestFit="1" customWidth="1"/>
    <col min="155" max="155" width="49.125" bestFit="1" customWidth="1"/>
    <col min="156" max="156" width="48.875" bestFit="1" customWidth="1"/>
    <col min="157" max="157" width="48.5" bestFit="1" customWidth="1"/>
    <col min="158" max="158" width="49.125" bestFit="1" customWidth="1"/>
    <col min="159" max="159" width="48.875" bestFit="1" customWidth="1"/>
    <col min="160" max="160" width="48.5" bestFit="1" customWidth="1"/>
    <col min="161" max="161" width="49.125" bestFit="1" customWidth="1"/>
    <col min="162" max="162" width="48.875" bestFit="1" customWidth="1"/>
    <col min="163" max="163" width="48.5" bestFit="1" customWidth="1"/>
    <col min="164" max="164" width="34" customWidth="1"/>
  </cols>
  <sheetData>
    <row r="1" spans="1:16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</row>
    <row r="2" spans="1:164" x14ac:dyDescent="0.25">
      <c r="A2">
        <v>4</v>
      </c>
      <c r="B2" t="s">
        <v>164</v>
      </c>
      <c r="C2">
        <v>46</v>
      </c>
      <c r="D2">
        <v>4601</v>
      </c>
      <c r="E2">
        <v>974738570</v>
      </c>
      <c r="F2" t="s">
        <v>165</v>
      </c>
      <c r="G2" t="s">
        <v>166</v>
      </c>
      <c r="H2" t="s">
        <v>167</v>
      </c>
      <c r="I2" t="s">
        <v>168</v>
      </c>
      <c r="J2" t="e">
        <f>TRIM(#REF!)</f>
        <v>#REF!</v>
      </c>
      <c r="K2" t="e">
        <f>#REF!&amp;#REF!&amp;#REF!</f>
        <v>#REF!</v>
      </c>
      <c r="L2" t="str">
        <f>IFERROR(VLOOKUP(#REF!,工作表1!E:I,2,FALSE),"")</f>
        <v/>
      </c>
      <c r="M2" t="str">
        <f>IFERROR(VLOOKUP(#REF!,工作表1!E:I,3,FALSE),"")</f>
        <v/>
      </c>
      <c r="N2" t="str">
        <f>IFERROR(VLOOKUP(#REF!,工作表1!E:I,4,FALSE),"")</f>
        <v/>
      </c>
      <c r="O2" t="str">
        <f>IFERROR(VLOOKUP(#REF!,工作表1!E:I,5,FALSE),"")</f>
        <v/>
      </c>
      <c r="P2" t="s">
        <v>169</v>
      </c>
      <c r="Q2" t="s">
        <v>170</v>
      </c>
      <c r="R2" t="s">
        <v>171</v>
      </c>
      <c r="T2" t="s">
        <v>172</v>
      </c>
      <c r="U2" t="s">
        <v>173</v>
      </c>
      <c r="V2" t="s">
        <v>174</v>
      </c>
      <c r="X2" t="s">
        <v>175</v>
      </c>
      <c r="Y2" t="s">
        <v>176</v>
      </c>
      <c r="Z2" t="s">
        <v>177</v>
      </c>
      <c r="AB2" t="s">
        <v>178</v>
      </c>
      <c r="AC2" t="s">
        <v>179</v>
      </c>
      <c r="AD2" t="s">
        <v>180</v>
      </c>
      <c r="AF2" t="s">
        <v>181</v>
      </c>
      <c r="AG2" t="s">
        <v>182</v>
      </c>
      <c r="AH2" t="s">
        <v>183</v>
      </c>
      <c r="AJ2" t="s">
        <v>179</v>
      </c>
      <c r="AK2" t="s">
        <v>184</v>
      </c>
      <c r="AL2" t="s">
        <v>185</v>
      </c>
      <c r="AM2" t="s">
        <v>186</v>
      </c>
      <c r="AN2" t="s">
        <v>187</v>
      </c>
      <c r="AO2" t="s">
        <v>188</v>
      </c>
      <c r="AP2" t="s">
        <v>189</v>
      </c>
      <c r="AQ2" t="s">
        <v>190</v>
      </c>
      <c r="AR2" t="s">
        <v>191</v>
      </c>
      <c r="AS2" t="s">
        <v>192</v>
      </c>
      <c r="AT2" t="s">
        <v>193</v>
      </c>
      <c r="AU2" t="s">
        <v>194</v>
      </c>
      <c r="AV2" t="s">
        <v>195</v>
      </c>
      <c r="AW2" t="s">
        <v>196</v>
      </c>
      <c r="AX2" t="s">
        <v>197</v>
      </c>
      <c r="AY2" t="s">
        <v>198</v>
      </c>
      <c r="AZ2" t="s">
        <v>187</v>
      </c>
      <c r="BA2" t="s">
        <v>199</v>
      </c>
      <c r="BB2" t="s">
        <v>200</v>
      </c>
      <c r="BC2" t="s">
        <v>190</v>
      </c>
      <c r="BD2">
        <v>1369</v>
      </c>
      <c r="BE2">
        <v>1576</v>
      </c>
      <c r="BF2">
        <v>1484</v>
      </c>
      <c r="BG2">
        <v>1441</v>
      </c>
      <c r="BH2">
        <v>1389</v>
      </c>
      <c r="BY2" t="s">
        <v>201</v>
      </c>
      <c r="BZ2" t="s">
        <v>202</v>
      </c>
      <c r="CA2" t="s">
        <v>203</v>
      </c>
      <c r="CB2" t="s">
        <v>174</v>
      </c>
      <c r="CC2" t="s">
        <v>204</v>
      </c>
      <c r="CD2" t="s">
        <v>203</v>
      </c>
      <c r="CE2" t="s">
        <v>205</v>
      </c>
      <c r="CF2" t="s">
        <v>206</v>
      </c>
      <c r="CG2" t="s">
        <v>203</v>
      </c>
      <c r="CH2" t="s">
        <v>207</v>
      </c>
      <c r="CI2" t="s">
        <v>208</v>
      </c>
      <c r="CJ2" t="s">
        <v>209</v>
      </c>
      <c r="CK2" t="s">
        <v>210</v>
      </c>
      <c r="CL2" t="s">
        <v>211</v>
      </c>
      <c r="CM2" t="s">
        <v>212</v>
      </c>
      <c r="CN2" t="s">
        <v>210</v>
      </c>
      <c r="CO2" t="s">
        <v>211</v>
      </c>
      <c r="CP2" t="s">
        <v>212</v>
      </c>
      <c r="CQ2" t="s">
        <v>210</v>
      </c>
      <c r="CR2" t="s">
        <v>213</v>
      </c>
      <c r="CS2" t="s">
        <v>177</v>
      </c>
      <c r="CT2" t="s">
        <v>209</v>
      </c>
      <c r="CU2" t="s">
        <v>213</v>
      </c>
      <c r="CV2" t="s">
        <v>177</v>
      </c>
      <c r="CW2" t="s">
        <v>177</v>
      </c>
      <c r="CX2" t="s">
        <v>214</v>
      </c>
      <c r="CY2" t="s">
        <v>177</v>
      </c>
      <c r="CZ2" t="s">
        <v>210</v>
      </c>
      <c r="DA2" t="s">
        <v>204</v>
      </c>
      <c r="DB2" t="s">
        <v>210</v>
      </c>
      <c r="DC2" t="s">
        <v>215</v>
      </c>
      <c r="DD2" t="s">
        <v>214</v>
      </c>
      <c r="DE2" t="s">
        <v>216</v>
      </c>
      <c r="DF2" t="s">
        <v>217</v>
      </c>
      <c r="DG2" t="s">
        <v>211</v>
      </c>
      <c r="DH2" t="s">
        <v>216</v>
      </c>
      <c r="FH2" t="s">
        <v>218</v>
      </c>
    </row>
    <row r="3" spans="1:164" x14ac:dyDescent="0.25">
      <c r="A3">
        <v>1</v>
      </c>
      <c r="B3" t="s">
        <v>164</v>
      </c>
      <c r="C3">
        <v>0</v>
      </c>
      <c r="D3">
        <v>0</v>
      </c>
      <c r="E3">
        <v>0</v>
      </c>
      <c r="F3" t="s">
        <v>165</v>
      </c>
      <c r="G3" t="s">
        <v>219</v>
      </c>
      <c r="H3" t="s">
        <v>220</v>
      </c>
      <c r="I3" t="s">
        <v>221</v>
      </c>
      <c r="J3" t="e">
        <f>TRIM(#REF!)</f>
        <v>#REF!</v>
      </c>
      <c r="K3" t="e">
        <f>#REF!&amp;#REF!&amp;#REF!</f>
        <v>#REF!</v>
      </c>
      <c r="L3" t="str">
        <f>IFERROR(VLOOKUP(#REF!,工作表1!E:I,2,FALSE),"")</f>
        <v/>
      </c>
      <c r="M3" t="str">
        <f>IFERROR(VLOOKUP(#REF!,工作表1!E:I,3,FALSE),"")</f>
        <v/>
      </c>
      <c r="N3" t="str">
        <f>IFERROR(VLOOKUP(#REF!,工作表1!E:I,4,FALSE),"")</f>
        <v/>
      </c>
      <c r="O3" t="str">
        <f>IFERROR(VLOOKUP(#REF!,工作表1!E:I,5,FALSE),"")</f>
        <v/>
      </c>
      <c r="P3">
        <v>634674</v>
      </c>
      <c r="Q3" t="s">
        <v>222</v>
      </c>
      <c r="R3" t="s">
        <v>223</v>
      </c>
      <c r="S3" t="s">
        <v>224</v>
      </c>
      <c r="T3" t="s">
        <v>225</v>
      </c>
      <c r="U3" t="s">
        <v>226</v>
      </c>
      <c r="V3" t="s">
        <v>227</v>
      </c>
      <c r="W3" t="s">
        <v>228</v>
      </c>
      <c r="X3" t="s">
        <v>229</v>
      </c>
      <c r="Y3" t="s">
        <v>230</v>
      </c>
      <c r="Z3" t="s">
        <v>231</v>
      </c>
      <c r="AA3" t="s">
        <v>232</v>
      </c>
      <c r="AB3" t="s">
        <v>233</v>
      </c>
      <c r="AC3" t="s">
        <v>234</v>
      </c>
      <c r="AD3" t="s">
        <v>235</v>
      </c>
      <c r="AE3" t="s">
        <v>236</v>
      </c>
      <c r="AF3" t="s">
        <v>237</v>
      </c>
      <c r="AG3" t="s">
        <v>238</v>
      </c>
      <c r="AH3" t="s">
        <v>239</v>
      </c>
      <c r="AI3" t="s">
        <v>240</v>
      </c>
      <c r="AJ3" t="s">
        <v>241</v>
      </c>
      <c r="AK3" t="s">
        <v>242</v>
      </c>
      <c r="AL3" t="s">
        <v>243</v>
      </c>
      <c r="AM3" t="s">
        <v>244</v>
      </c>
      <c r="AN3" t="s">
        <v>245</v>
      </c>
      <c r="AO3" t="s">
        <v>246</v>
      </c>
      <c r="AP3" t="s">
        <v>247</v>
      </c>
      <c r="AQ3" t="s">
        <v>248</v>
      </c>
      <c r="AR3" t="s">
        <v>249</v>
      </c>
      <c r="AS3" t="s">
        <v>250</v>
      </c>
      <c r="AT3" t="s">
        <v>251</v>
      </c>
      <c r="AU3" t="s">
        <v>252</v>
      </c>
      <c r="AV3" t="s">
        <v>253</v>
      </c>
      <c r="AW3" t="s">
        <v>254</v>
      </c>
      <c r="AX3" t="s">
        <v>255</v>
      </c>
      <c r="AY3" t="s">
        <v>256</v>
      </c>
      <c r="AZ3" t="s">
        <v>257</v>
      </c>
      <c r="BA3" t="s">
        <v>258</v>
      </c>
      <c r="BB3" t="s">
        <v>259</v>
      </c>
      <c r="BC3" t="s">
        <v>260</v>
      </c>
      <c r="BD3">
        <v>1554</v>
      </c>
      <c r="BE3">
        <v>1563</v>
      </c>
      <c r="BF3">
        <v>1563</v>
      </c>
      <c r="BG3">
        <v>1563</v>
      </c>
      <c r="BH3">
        <v>1552</v>
      </c>
      <c r="BI3" t="s">
        <v>261</v>
      </c>
      <c r="BJ3" t="s">
        <v>262</v>
      </c>
      <c r="BK3" t="s">
        <v>263</v>
      </c>
      <c r="BL3" t="s">
        <v>264</v>
      </c>
      <c r="BM3" t="s">
        <v>263</v>
      </c>
      <c r="BN3" t="s">
        <v>265</v>
      </c>
      <c r="BO3" t="s">
        <v>266</v>
      </c>
      <c r="BP3" t="s">
        <v>267</v>
      </c>
      <c r="BQ3" t="s">
        <v>263</v>
      </c>
      <c r="BR3" t="s">
        <v>268</v>
      </c>
      <c r="BS3" t="s">
        <v>269</v>
      </c>
      <c r="BT3" t="s">
        <v>270</v>
      </c>
      <c r="BU3" t="s">
        <v>271</v>
      </c>
      <c r="BV3" t="s">
        <v>272</v>
      </c>
      <c r="BW3" t="s">
        <v>271</v>
      </c>
      <c r="BX3" t="s">
        <v>273</v>
      </c>
      <c r="BY3" t="s">
        <v>207</v>
      </c>
      <c r="BZ3" t="s">
        <v>274</v>
      </c>
      <c r="CA3" t="s">
        <v>275</v>
      </c>
      <c r="CB3" t="s">
        <v>207</v>
      </c>
      <c r="CC3" t="s">
        <v>274</v>
      </c>
      <c r="CD3" t="s">
        <v>276</v>
      </c>
      <c r="CE3" t="s">
        <v>207</v>
      </c>
      <c r="CF3" t="s">
        <v>274</v>
      </c>
      <c r="CG3" t="s">
        <v>277</v>
      </c>
      <c r="CH3" t="s">
        <v>207</v>
      </c>
      <c r="CI3" t="s">
        <v>274</v>
      </c>
      <c r="CJ3" t="s">
        <v>278</v>
      </c>
      <c r="CK3" t="s">
        <v>177</v>
      </c>
      <c r="CL3" t="s">
        <v>274</v>
      </c>
      <c r="CM3" t="s">
        <v>279</v>
      </c>
      <c r="CN3" t="s">
        <v>207</v>
      </c>
      <c r="CO3" t="s">
        <v>274</v>
      </c>
      <c r="CP3" t="s">
        <v>280</v>
      </c>
      <c r="CQ3" t="s">
        <v>281</v>
      </c>
      <c r="CR3" t="s">
        <v>274</v>
      </c>
      <c r="CS3" t="s">
        <v>282</v>
      </c>
      <c r="CT3" t="s">
        <v>177</v>
      </c>
      <c r="CU3" t="s">
        <v>274</v>
      </c>
      <c r="CV3" t="s">
        <v>283</v>
      </c>
      <c r="CW3" t="s">
        <v>177</v>
      </c>
      <c r="CX3" t="s">
        <v>274</v>
      </c>
      <c r="CY3" t="s">
        <v>284</v>
      </c>
      <c r="CZ3" t="s">
        <v>207</v>
      </c>
      <c r="DA3" t="s">
        <v>274</v>
      </c>
      <c r="DB3" t="s">
        <v>285</v>
      </c>
      <c r="DC3" t="s">
        <v>177</v>
      </c>
      <c r="DD3" t="s">
        <v>274</v>
      </c>
      <c r="DE3" t="s">
        <v>286</v>
      </c>
      <c r="DF3" t="s">
        <v>177</v>
      </c>
      <c r="DG3" t="s">
        <v>274</v>
      </c>
      <c r="DH3" t="s">
        <v>287</v>
      </c>
      <c r="DI3" t="s">
        <v>207</v>
      </c>
      <c r="DJ3" t="s">
        <v>274</v>
      </c>
      <c r="DK3" t="s">
        <v>288</v>
      </c>
      <c r="DL3" t="s">
        <v>207</v>
      </c>
      <c r="DM3" t="s">
        <v>274</v>
      </c>
      <c r="DN3" t="s">
        <v>289</v>
      </c>
      <c r="DO3" t="s">
        <v>207</v>
      </c>
      <c r="DP3" t="s">
        <v>274</v>
      </c>
      <c r="DQ3" t="s">
        <v>290</v>
      </c>
      <c r="DR3" t="s">
        <v>207</v>
      </c>
      <c r="DS3" t="s">
        <v>274</v>
      </c>
      <c r="DT3" t="s">
        <v>291</v>
      </c>
      <c r="DU3" t="s">
        <v>177</v>
      </c>
      <c r="DV3" t="s">
        <v>274</v>
      </c>
      <c r="DW3" t="s">
        <v>292</v>
      </c>
      <c r="DX3" t="s">
        <v>177</v>
      </c>
      <c r="DY3" t="s">
        <v>274</v>
      </c>
      <c r="DZ3" t="s">
        <v>293</v>
      </c>
      <c r="EA3" t="s">
        <v>207</v>
      </c>
      <c r="EB3" t="s">
        <v>274</v>
      </c>
      <c r="EC3" t="s">
        <v>294</v>
      </c>
      <c r="ED3" t="s">
        <v>177</v>
      </c>
      <c r="EE3" t="s">
        <v>274</v>
      </c>
      <c r="EF3" t="s">
        <v>295</v>
      </c>
      <c r="EG3" t="s">
        <v>216</v>
      </c>
      <c r="EH3" t="s">
        <v>274</v>
      </c>
      <c r="EI3" t="s">
        <v>296</v>
      </c>
      <c r="EJ3" t="s">
        <v>281</v>
      </c>
      <c r="EK3" t="s">
        <v>274</v>
      </c>
      <c r="EL3" t="s">
        <v>297</v>
      </c>
      <c r="EM3" t="s">
        <v>177</v>
      </c>
      <c r="EN3" t="s">
        <v>274</v>
      </c>
      <c r="EO3" t="s">
        <v>298</v>
      </c>
      <c r="EP3" t="s">
        <v>177</v>
      </c>
      <c r="EQ3" t="s">
        <v>274</v>
      </c>
      <c r="ER3" t="s">
        <v>299</v>
      </c>
      <c r="ES3" t="s">
        <v>300</v>
      </c>
      <c r="ET3" t="s">
        <v>301</v>
      </c>
      <c r="EU3" t="s">
        <v>302</v>
      </c>
      <c r="EV3" t="s">
        <v>301</v>
      </c>
      <c r="EW3" t="s">
        <v>211</v>
      </c>
      <c r="EX3" t="s">
        <v>303</v>
      </c>
      <c r="EY3">
        <v>80</v>
      </c>
      <c r="EZ3">
        <v>60</v>
      </c>
      <c r="FA3" t="s">
        <v>304</v>
      </c>
      <c r="FB3" t="s">
        <v>305</v>
      </c>
      <c r="FC3" t="s">
        <v>306</v>
      </c>
      <c r="FD3" t="s">
        <v>307</v>
      </c>
      <c r="FE3">
        <v>90</v>
      </c>
      <c r="FF3">
        <v>80</v>
      </c>
      <c r="FG3" t="s">
        <v>308</v>
      </c>
    </row>
    <row r="4" spans="1:164" x14ac:dyDescent="0.25">
      <c r="A4">
        <v>2</v>
      </c>
      <c r="B4" t="s">
        <v>164</v>
      </c>
      <c r="C4">
        <v>46</v>
      </c>
      <c r="D4">
        <v>0</v>
      </c>
      <c r="E4">
        <v>46</v>
      </c>
      <c r="F4" t="s">
        <v>165</v>
      </c>
      <c r="G4" t="s">
        <v>166</v>
      </c>
      <c r="H4" t="s">
        <v>220</v>
      </c>
      <c r="I4" t="s">
        <v>221</v>
      </c>
      <c r="J4" t="e">
        <f>TRIM(#REF!)</f>
        <v>#REF!</v>
      </c>
      <c r="K4" t="e">
        <f>#REF!&amp;#REF!&amp;#REF!</f>
        <v>#REF!</v>
      </c>
      <c r="L4" t="str">
        <f>IFERROR(VLOOKUP(#REF!,工作表1!E:I,2,FALSE),"")</f>
        <v/>
      </c>
      <c r="M4" t="str">
        <f>IFERROR(VLOOKUP(#REF!,工作表1!E:I,3,FALSE),"")</f>
        <v/>
      </c>
      <c r="N4" t="str">
        <f>IFERROR(VLOOKUP(#REF!,工作表1!E:I,4,FALSE),"")</f>
        <v/>
      </c>
      <c r="O4" t="str">
        <f>IFERROR(VLOOKUP(#REF!,工作表1!E:I,5,FALSE),"")</f>
        <v/>
      </c>
      <c r="P4" t="s">
        <v>309</v>
      </c>
      <c r="Q4" t="s">
        <v>310</v>
      </c>
      <c r="R4" t="s">
        <v>311</v>
      </c>
      <c r="S4" t="s">
        <v>312</v>
      </c>
      <c r="T4" t="s">
        <v>313</v>
      </c>
      <c r="U4" t="s">
        <v>314</v>
      </c>
      <c r="V4" t="s">
        <v>315</v>
      </c>
      <c r="W4" t="s">
        <v>316</v>
      </c>
      <c r="X4" t="s">
        <v>317</v>
      </c>
      <c r="Y4" t="s">
        <v>318</v>
      </c>
      <c r="Z4" t="s">
        <v>319</v>
      </c>
      <c r="AA4" t="s">
        <v>320</v>
      </c>
      <c r="AB4" t="s">
        <v>321</v>
      </c>
      <c r="AC4" t="s">
        <v>322</v>
      </c>
      <c r="AD4" t="s">
        <v>323</v>
      </c>
      <c r="AE4" t="s">
        <v>324</v>
      </c>
      <c r="AF4" t="s">
        <v>325</v>
      </c>
      <c r="AG4" t="s">
        <v>326</v>
      </c>
      <c r="AH4" t="s">
        <v>327</v>
      </c>
      <c r="AI4" t="s">
        <v>328</v>
      </c>
      <c r="AJ4" t="s">
        <v>329</v>
      </c>
      <c r="AK4" t="s">
        <v>330</v>
      </c>
      <c r="AL4" t="s">
        <v>331</v>
      </c>
      <c r="AM4" t="s">
        <v>332</v>
      </c>
      <c r="AN4" t="s">
        <v>333</v>
      </c>
      <c r="AO4" t="s">
        <v>334</v>
      </c>
      <c r="AP4" t="s">
        <v>335</v>
      </c>
      <c r="AQ4" t="s">
        <v>336</v>
      </c>
      <c r="AR4" t="s">
        <v>337</v>
      </c>
      <c r="AS4" t="s">
        <v>338</v>
      </c>
      <c r="AT4" t="s">
        <v>339</v>
      </c>
      <c r="AU4" t="s">
        <v>340</v>
      </c>
      <c r="AV4" t="s">
        <v>341</v>
      </c>
      <c r="AW4" t="s">
        <v>342</v>
      </c>
      <c r="AX4" t="s">
        <v>343</v>
      </c>
      <c r="AY4" t="s">
        <v>344</v>
      </c>
      <c r="AZ4" t="s">
        <v>345</v>
      </c>
      <c r="BA4" t="s">
        <v>346</v>
      </c>
      <c r="BB4" t="s">
        <v>347</v>
      </c>
      <c r="BC4" t="s">
        <v>348</v>
      </c>
      <c r="BD4">
        <v>1510</v>
      </c>
      <c r="BE4">
        <v>1529</v>
      </c>
      <c r="BF4">
        <v>1527</v>
      </c>
      <c r="BG4">
        <v>1526</v>
      </c>
      <c r="BH4">
        <v>1518</v>
      </c>
      <c r="BI4" t="s">
        <v>349</v>
      </c>
      <c r="BJ4" t="s">
        <v>350</v>
      </c>
      <c r="BK4" t="s">
        <v>351</v>
      </c>
      <c r="BL4" t="s">
        <v>352</v>
      </c>
      <c r="BM4" t="s">
        <v>351</v>
      </c>
      <c r="BN4" t="s">
        <v>353</v>
      </c>
      <c r="BO4" t="s">
        <v>266</v>
      </c>
      <c r="BP4" t="s">
        <v>354</v>
      </c>
      <c r="BQ4" t="s">
        <v>351</v>
      </c>
      <c r="BR4" t="s">
        <v>355</v>
      </c>
      <c r="BS4" t="s">
        <v>356</v>
      </c>
      <c r="BT4" t="s">
        <v>357</v>
      </c>
      <c r="BU4" t="s">
        <v>269</v>
      </c>
      <c r="BV4" t="s">
        <v>358</v>
      </c>
      <c r="BW4" t="s">
        <v>269</v>
      </c>
      <c r="BX4" t="s">
        <v>359</v>
      </c>
      <c r="BY4" t="s">
        <v>207</v>
      </c>
      <c r="BZ4" t="s">
        <v>360</v>
      </c>
      <c r="CA4" t="s">
        <v>361</v>
      </c>
      <c r="CB4" t="s">
        <v>207</v>
      </c>
      <c r="CC4" t="s">
        <v>360</v>
      </c>
      <c r="CD4" t="s">
        <v>362</v>
      </c>
      <c r="CE4" t="s">
        <v>281</v>
      </c>
      <c r="CF4" t="s">
        <v>360</v>
      </c>
      <c r="CG4" t="s">
        <v>363</v>
      </c>
      <c r="CH4" t="s">
        <v>207</v>
      </c>
      <c r="CI4" t="s">
        <v>360</v>
      </c>
      <c r="CJ4" t="s">
        <v>364</v>
      </c>
      <c r="CK4" t="s">
        <v>177</v>
      </c>
      <c r="CL4" t="s">
        <v>360</v>
      </c>
      <c r="CM4" t="s">
        <v>365</v>
      </c>
      <c r="CN4" t="s">
        <v>207</v>
      </c>
      <c r="CO4" t="s">
        <v>360</v>
      </c>
      <c r="CP4" t="s">
        <v>366</v>
      </c>
      <c r="CQ4" t="s">
        <v>207</v>
      </c>
      <c r="CR4" t="s">
        <v>360</v>
      </c>
      <c r="CS4" t="s">
        <v>367</v>
      </c>
      <c r="CT4" t="s">
        <v>216</v>
      </c>
      <c r="CU4" t="s">
        <v>360</v>
      </c>
      <c r="CV4" t="s">
        <v>368</v>
      </c>
      <c r="CW4" t="s">
        <v>207</v>
      </c>
      <c r="CX4" t="s">
        <v>360</v>
      </c>
      <c r="CY4" t="s">
        <v>369</v>
      </c>
      <c r="CZ4" t="s">
        <v>207</v>
      </c>
      <c r="DA4" t="s">
        <v>360</v>
      </c>
      <c r="DB4" t="s">
        <v>370</v>
      </c>
      <c r="DC4" t="s">
        <v>216</v>
      </c>
      <c r="DD4" t="s">
        <v>360</v>
      </c>
      <c r="DE4" t="s">
        <v>371</v>
      </c>
      <c r="DF4" t="s">
        <v>207</v>
      </c>
      <c r="DG4" t="s">
        <v>360</v>
      </c>
      <c r="DH4" t="s">
        <v>372</v>
      </c>
      <c r="DI4" t="s">
        <v>177</v>
      </c>
      <c r="DJ4" t="s">
        <v>360</v>
      </c>
      <c r="DK4" t="s">
        <v>373</v>
      </c>
      <c r="DL4" t="s">
        <v>177</v>
      </c>
      <c r="DM4" t="s">
        <v>360</v>
      </c>
      <c r="DN4" t="s">
        <v>374</v>
      </c>
      <c r="DO4" t="s">
        <v>207</v>
      </c>
      <c r="DP4" t="s">
        <v>360</v>
      </c>
      <c r="DQ4" t="s">
        <v>375</v>
      </c>
      <c r="DR4" t="s">
        <v>207</v>
      </c>
      <c r="DS4" t="s">
        <v>360</v>
      </c>
      <c r="DT4" t="s">
        <v>376</v>
      </c>
      <c r="DU4" t="s">
        <v>216</v>
      </c>
      <c r="DV4" t="s">
        <v>360</v>
      </c>
      <c r="DW4" t="s">
        <v>377</v>
      </c>
      <c r="DX4" t="s">
        <v>177</v>
      </c>
      <c r="DY4" t="s">
        <v>360</v>
      </c>
      <c r="DZ4" t="s">
        <v>378</v>
      </c>
      <c r="EA4" t="s">
        <v>207</v>
      </c>
      <c r="EB4" t="s">
        <v>360</v>
      </c>
      <c r="EC4" t="s">
        <v>379</v>
      </c>
      <c r="ED4" t="s">
        <v>216</v>
      </c>
      <c r="EE4" t="s">
        <v>360</v>
      </c>
      <c r="EF4" t="s">
        <v>380</v>
      </c>
      <c r="EG4" t="s">
        <v>216</v>
      </c>
      <c r="EH4" t="s">
        <v>360</v>
      </c>
      <c r="EI4" t="s">
        <v>381</v>
      </c>
      <c r="EJ4" t="s">
        <v>281</v>
      </c>
      <c r="EK4" t="s">
        <v>360</v>
      </c>
      <c r="EL4" t="s">
        <v>382</v>
      </c>
      <c r="EM4" t="s">
        <v>177</v>
      </c>
      <c r="EN4" t="s">
        <v>360</v>
      </c>
      <c r="EO4" t="s">
        <v>383</v>
      </c>
      <c r="EP4" t="s">
        <v>177</v>
      </c>
      <c r="EQ4" t="s">
        <v>360</v>
      </c>
      <c r="ER4" t="s">
        <v>384</v>
      </c>
      <c r="ES4" t="s">
        <v>300</v>
      </c>
      <c r="ET4" t="s">
        <v>301</v>
      </c>
      <c r="EU4" t="s">
        <v>385</v>
      </c>
      <c r="EV4" t="s">
        <v>301</v>
      </c>
      <c r="EW4" t="s">
        <v>211</v>
      </c>
      <c r="EX4" t="s">
        <v>386</v>
      </c>
      <c r="EY4">
        <v>80</v>
      </c>
      <c r="EZ4">
        <v>50</v>
      </c>
      <c r="FA4" t="s">
        <v>387</v>
      </c>
      <c r="FB4" t="s">
        <v>388</v>
      </c>
      <c r="FC4" t="s">
        <v>389</v>
      </c>
      <c r="FD4" t="s">
        <v>390</v>
      </c>
      <c r="FE4">
        <v>90</v>
      </c>
      <c r="FF4">
        <v>70</v>
      </c>
      <c r="FG4" t="s">
        <v>391</v>
      </c>
    </row>
    <row r="5" spans="1:164" x14ac:dyDescent="0.25">
      <c r="A5">
        <v>3</v>
      </c>
      <c r="B5" t="s">
        <v>164</v>
      </c>
      <c r="C5">
        <v>46</v>
      </c>
      <c r="D5">
        <v>4601</v>
      </c>
      <c r="E5">
        <v>4601</v>
      </c>
      <c r="F5" t="s">
        <v>165</v>
      </c>
      <c r="G5" t="s">
        <v>166</v>
      </c>
      <c r="H5" t="s">
        <v>167</v>
      </c>
      <c r="I5" t="s">
        <v>221</v>
      </c>
      <c r="J5" t="e">
        <f>TRIM(#REF!)</f>
        <v>#REF!</v>
      </c>
      <c r="K5" t="e">
        <f>#REF!&amp;#REF!&amp;#REF!</f>
        <v>#REF!</v>
      </c>
      <c r="L5" t="str">
        <f>IFERROR(VLOOKUP(#REF!,工作表1!E:I,2,FALSE),"")</f>
        <v/>
      </c>
      <c r="M5" t="str">
        <f>IFERROR(VLOOKUP(#REF!,工作表1!E:I,3,FALSE),"")</f>
        <v/>
      </c>
      <c r="N5" t="str">
        <f>IFERROR(VLOOKUP(#REF!,工作表1!E:I,4,FALSE),"")</f>
        <v/>
      </c>
      <c r="O5" t="str">
        <f>IFERROR(VLOOKUP(#REF!,工作表1!E:I,5,FALSE),"")</f>
        <v/>
      </c>
      <c r="P5" t="s">
        <v>392</v>
      </c>
      <c r="Q5" t="s">
        <v>393</v>
      </c>
      <c r="R5" t="s">
        <v>394</v>
      </c>
      <c r="S5" t="s">
        <v>395</v>
      </c>
      <c r="T5" t="s">
        <v>396</v>
      </c>
      <c r="U5" t="s">
        <v>397</v>
      </c>
      <c r="V5" t="s">
        <v>398</v>
      </c>
      <c r="W5" t="s">
        <v>395</v>
      </c>
      <c r="X5" t="s">
        <v>399</v>
      </c>
      <c r="Y5" t="s">
        <v>400</v>
      </c>
      <c r="Z5" t="s">
        <v>401</v>
      </c>
      <c r="AA5" t="s">
        <v>402</v>
      </c>
      <c r="AB5" t="s">
        <v>403</v>
      </c>
      <c r="AC5" t="s">
        <v>404</v>
      </c>
      <c r="AD5" t="s">
        <v>405</v>
      </c>
      <c r="AE5" t="s">
        <v>402</v>
      </c>
      <c r="AF5" t="s">
        <v>406</v>
      </c>
      <c r="AG5" t="s">
        <v>407</v>
      </c>
      <c r="AH5" t="s">
        <v>408</v>
      </c>
      <c r="AI5" t="s">
        <v>402</v>
      </c>
      <c r="AJ5" t="s">
        <v>409</v>
      </c>
      <c r="AK5" t="s">
        <v>410</v>
      </c>
      <c r="AL5" t="s">
        <v>411</v>
      </c>
      <c r="AM5" t="s">
        <v>412</v>
      </c>
      <c r="AN5" t="s">
        <v>413</v>
      </c>
      <c r="AO5" t="s">
        <v>414</v>
      </c>
      <c r="AP5" t="s">
        <v>415</v>
      </c>
      <c r="AQ5" t="s">
        <v>416</v>
      </c>
      <c r="AR5" t="s">
        <v>417</v>
      </c>
      <c r="AS5" t="s">
        <v>418</v>
      </c>
      <c r="AT5" t="s">
        <v>419</v>
      </c>
      <c r="AU5" t="s">
        <v>420</v>
      </c>
      <c r="AV5" t="s">
        <v>421</v>
      </c>
      <c r="AW5" t="s">
        <v>422</v>
      </c>
      <c r="AX5" t="s">
        <v>423</v>
      </c>
      <c r="AY5" t="s">
        <v>424</v>
      </c>
      <c r="AZ5" t="s">
        <v>425</v>
      </c>
      <c r="BA5" t="s">
        <v>426</v>
      </c>
      <c r="BB5" t="s">
        <v>427</v>
      </c>
      <c r="BC5" t="s">
        <v>428</v>
      </c>
      <c r="BD5">
        <v>1655</v>
      </c>
      <c r="BE5">
        <v>1665</v>
      </c>
      <c r="BF5">
        <v>1659</v>
      </c>
      <c r="BG5">
        <v>1667</v>
      </c>
      <c r="BH5">
        <v>1651</v>
      </c>
      <c r="BI5" t="s">
        <v>349</v>
      </c>
      <c r="BJ5" t="s">
        <v>350</v>
      </c>
      <c r="BK5" t="s">
        <v>351</v>
      </c>
      <c r="BL5" t="s">
        <v>429</v>
      </c>
      <c r="BM5" t="s">
        <v>351</v>
      </c>
      <c r="BN5" t="s">
        <v>430</v>
      </c>
      <c r="BO5" t="s">
        <v>351</v>
      </c>
      <c r="BP5" t="s">
        <v>431</v>
      </c>
      <c r="BQ5" t="s">
        <v>351</v>
      </c>
      <c r="BR5" t="s">
        <v>432</v>
      </c>
      <c r="BS5" t="s">
        <v>433</v>
      </c>
      <c r="BT5" t="s">
        <v>434</v>
      </c>
      <c r="BU5" t="s">
        <v>435</v>
      </c>
      <c r="BV5" t="s">
        <v>436</v>
      </c>
      <c r="BW5" t="s">
        <v>437</v>
      </c>
      <c r="BX5" t="s">
        <v>438</v>
      </c>
      <c r="BY5" t="s">
        <v>281</v>
      </c>
      <c r="BZ5" t="s">
        <v>439</v>
      </c>
      <c r="CA5" t="s">
        <v>440</v>
      </c>
      <c r="CB5" t="s">
        <v>281</v>
      </c>
      <c r="CC5" t="s">
        <v>439</v>
      </c>
      <c r="CD5" t="s">
        <v>441</v>
      </c>
      <c r="CE5" t="s">
        <v>281</v>
      </c>
      <c r="CF5" t="s">
        <v>439</v>
      </c>
      <c r="CG5" t="s">
        <v>442</v>
      </c>
      <c r="CH5" t="s">
        <v>207</v>
      </c>
      <c r="CI5" t="s">
        <v>439</v>
      </c>
      <c r="CJ5" t="s">
        <v>443</v>
      </c>
      <c r="CK5" t="s">
        <v>207</v>
      </c>
      <c r="CL5" t="s">
        <v>439</v>
      </c>
      <c r="CM5" t="s">
        <v>444</v>
      </c>
      <c r="CN5" t="s">
        <v>281</v>
      </c>
      <c r="CO5" t="s">
        <v>439</v>
      </c>
      <c r="CP5" t="s">
        <v>445</v>
      </c>
      <c r="CQ5" t="s">
        <v>281</v>
      </c>
      <c r="CR5" t="s">
        <v>446</v>
      </c>
      <c r="CS5" t="s">
        <v>447</v>
      </c>
      <c r="CT5" t="s">
        <v>207</v>
      </c>
      <c r="CU5" t="s">
        <v>446</v>
      </c>
      <c r="CV5" t="s">
        <v>448</v>
      </c>
      <c r="CW5" t="s">
        <v>207</v>
      </c>
      <c r="CX5" t="s">
        <v>439</v>
      </c>
      <c r="CY5" t="s">
        <v>449</v>
      </c>
      <c r="CZ5" t="s">
        <v>207</v>
      </c>
      <c r="DA5" t="s">
        <v>439</v>
      </c>
      <c r="DB5" t="s">
        <v>450</v>
      </c>
      <c r="DC5" t="s">
        <v>177</v>
      </c>
      <c r="DD5" t="s">
        <v>446</v>
      </c>
      <c r="DE5" t="s">
        <v>451</v>
      </c>
      <c r="DF5" t="s">
        <v>207</v>
      </c>
      <c r="DG5" t="s">
        <v>439</v>
      </c>
      <c r="DH5" t="s">
        <v>452</v>
      </c>
      <c r="DI5" t="s">
        <v>281</v>
      </c>
      <c r="DJ5" t="s">
        <v>439</v>
      </c>
      <c r="DK5" t="s">
        <v>453</v>
      </c>
      <c r="DL5" t="s">
        <v>281</v>
      </c>
      <c r="DM5" t="s">
        <v>439</v>
      </c>
      <c r="DN5" t="s">
        <v>454</v>
      </c>
      <c r="DO5" t="s">
        <v>281</v>
      </c>
      <c r="DP5" t="s">
        <v>439</v>
      </c>
      <c r="DQ5" t="s">
        <v>455</v>
      </c>
      <c r="DR5" t="s">
        <v>281</v>
      </c>
      <c r="DS5" t="s">
        <v>446</v>
      </c>
      <c r="DT5" t="s">
        <v>456</v>
      </c>
      <c r="DU5" t="s">
        <v>177</v>
      </c>
      <c r="DV5" t="s">
        <v>439</v>
      </c>
      <c r="DW5" t="s">
        <v>457</v>
      </c>
      <c r="DX5" t="s">
        <v>207</v>
      </c>
      <c r="DY5" t="s">
        <v>446</v>
      </c>
      <c r="DZ5" t="s">
        <v>458</v>
      </c>
      <c r="EA5" t="s">
        <v>174</v>
      </c>
      <c r="EB5" t="s">
        <v>446</v>
      </c>
      <c r="EC5" t="s">
        <v>459</v>
      </c>
      <c r="ED5" t="s">
        <v>207</v>
      </c>
      <c r="EE5" t="s">
        <v>446</v>
      </c>
      <c r="EF5" t="s">
        <v>460</v>
      </c>
      <c r="EG5" t="s">
        <v>177</v>
      </c>
      <c r="EH5" t="s">
        <v>439</v>
      </c>
      <c r="EI5" t="s">
        <v>461</v>
      </c>
      <c r="EJ5" t="s">
        <v>201</v>
      </c>
      <c r="EK5" t="s">
        <v>446</v>
      </c>
      <c r="EL5" t="s">
        <v>462</v>
      </c>
      <c r="EM5" t="s">
        <v>207</v>
      </c>
      <c r="EN5" t="s">
        <v>446</v>
      </c>
      <c r="EO5" t="s">
        <v>463</v>
      </c>
      <c r="EP5" t="s">
        <v>207</v>
      </c>
      <c r="EQ5" t="s">
        <v>439</v>
      </c>
      <c r="ER5" t="s">
        <v>464</v>
      </c>
      <c r="ES5" t="s">
        <v>300</v>
      </c>
      <c r="ET5" t="s">
        <v>301</v>
      </c>
      <c r="EU5" t="s">
        <v>465</v>
      </c>
      <c r="EV5" t="s">
        <v>211</v>
      </c>
      <c r="EW5" t="s">
        <v>186</v>
      </c>
      <c r="EX5" t="s">
        <v>466</v>
      </c>
      <c r="EY5">
        <v>90</v>
      </c>
      <c r="EZ5">
        <v>70</v>
      </c>
      <c r="FA5" t="s">
        <v>467</v>
      </c>
      <c r="FB5" t="s">
        <v>468</v>
      </c>
      <c r="FC5" t="s">
        <v>305</v>
      </c>
      <c r="FD5" t="s">
        <v>469</v>
      </c>
      <c r="FE5">
        <v>90</v>
      </c>
      <c r="FF5">
        <v>70</v>
      </c>
      <c r="FG5" t="s">
        <v>470</v>
      </c>
    </row>
    <row r="6" spans="1:164" x14ac:dyDescent="0.25">
      <c r="A6">
        <v>4</v>
      </c>
      <c r="B6" t="s">
        <v>164</v>
      </c>
      <c r="C6">
        <v>46</v>
      </c>
      <c r="D6">
        <v>4601</v>
      </c>
      <c r="E6">
        <v>874738352</v>
      </c>
      <c r="F6" t="s">
        <v>165</v>
      </c>
      <c r="G6" t="s">
        <v>166</v>
      </c>
      <c r="H6" t="s">
        <v>167</v>
      </c>
      <c r="I6" t="s">
        <v>471</v>
      </c>
      <c r="J6" t="e">
        <f>TRIM(#REF!)</f>
        <v>#REF!</v>
      </c>
      <c r="K6" t="e">
        <f>#REF!&amp;#REF!&amp;#REF!</f>
        <v>#REF!</v>
      </c>
      <c r="L6" t="str">
        <f>IFERROR(VLOOKUP(#REF!,工作表1!E:I,2,FALSE),"")</f>
        <v/>
      </c>
      <c r="M6" t="str">
        <f>IFERROR(VLOOKUP(#REF!,工作表1!E:I,3,FALSE),"")</f>
        <v/>
      </c>
      <c r="N6" t="str">
        <f>IFERROR(VLOOKUP(#REF!,工作表1!E:I,4,FALSE),"")</f>
        <v/>
      </c>
      <c r="O6" t="str">
        <f>IFERROR(VLOOKUP(#REF!,工作表1!E:I,5,FALSE),"")</f>
        <v/>
      </c>
      <c r="P6" t="s">
        <v>472</v>
      </c>
      <c r="Q6" t="s">
        <v>473</v>
      </c>
      <c r="R6" t="s">
        <v>474</v>
      </c>
      <c r="T6" t="s">
        <v>475</v>
      </c>
      <c r="U6" t="s">
        <v>476</v>
      </c>
      <c r="V6" t="s">
        <v>170</v>
      </c>
      <c r="X6" t="s">
        <v>477</v>
      </c>
      <c r="Y6" t="s">
        <v>473</v>
      </c>
      <c r="Z6" t="s">
        <v>473</v>
      </c>
      <c r="AB6" t="s">
        <v>478</v>
      </c>
      <c r="AC6" t="s">
        <v>476</v>
      </c>
      <c r="AD6" t="s">
        <v>476</v>
      </c>
      <c r="AF6" t="s">
        <v>479</v>
      </c>
      <c r="AG6" t="s">
        <v>480</v>
      </c>
      <c r="AH6" t="s">
        <v>481</v>
      </c>
      <c r="AJ6" t="s">
        <v>179</v>
      </c>
      <c r="AK6" t="s">
        <v>482</v>
      </c>
      <c r="AL6" t="s">
        <v>483</v>
      </c>
      <c r="AM6" t="s">
        <v>266</v>
      </c>
      <c r="AN6" t="s">
        <v>182</v>
      </c>
      <c r="AO6" t="s">
        <v>484</v>
      </c>
      <c r="AP6" t="s">
        <v>485</v>
      </c>
      <c r="AQ6" t="s">
        <v>486</v>
      </c>
      <c r="AR6" t="s">
        <v>187</v>
      </c>
      <c r="AS6" t="s">
        <v>487</v>
      </c>
      <c r="AT6" t="s">
        <v>488</v>
      </c>
      <c r="AU6" t="s">
        <v>202</v>
      </c>
      <c r="AV6" t="s">
        <v>489</v>
      </c>
      <c r="AW6" t="s">
        <v>490</v>
      </c>
      <c r="AX6" t="s">
        <v>491</v>
      </c>
      <c r="AY6" t="s">
        <v>208</v>
      </c>
      <c r="AZ6" t="s">
        <v>179</v>
      </c>
      <c r="BA6" t="s">
        <v>492</v>
      </c>
      <c r="BB6" t="s">
        <v>493</v>
      </c>
      <c r="BC6" t="s">
        <v>351</v>
      </c>
      <c r="BD6">
        <v>1615</v>
      </c>
      <c r="BE6">
        <v>1509</v>
      </c>
      <c r="BF6">
        <v>1433</v>
      </c>
      <c r="BG6">
        <v>1640</v>
      </c>
      <c r="BH6">
        <v>1485</v>
      </c>
      <c r="BY6" t="s">
        <v>205</v>
      </c>
      <c r="BZ6" t="s">
        <v>494</v>
      </c>
      <c r="CA6" t="s">
        <v>174</v>
      </c>
      <c r="CB6" t="s">
        <v>174</v>
      </c>
      <c r="CC6" t="s">
        <v>495</v>
      </c>
      <c r="CD6" t="s">
        <v>281</v>
      </c>
      <c r="CE6" t="s">
        <v>496</v>
      </c>
      <c r="CF6" t="s">
        <v>214</v>
      </c>
      <c r="CG6" t="s">
        <v>174</v>
      </c>
      <c r="CH6" t="s">
        <v>201</v>
      </c>
      <c r="CI6" t="s">
        <v>486</v>
      </c>
      <c r="CJ6" t="s">
        <v>171</v>
      </c>
      <c r="CK6" t="s">
        <v>174</v>
      </c>
      <c r="CL6" t="s">
        <v>214</v>
      </c>
      <c r="CM6" t="s">
        <v>191</v>
      </c>
      <c r="CN6" t="s">
        <v>174</v>
      </c>
      <c r="CO6" t="s">
        <v>202</v>
      </c>
      <c r="CP6" t="s">
        <v>171</v>
      </c>
      <c r="CQ6" t="s">
        <v>496</v>
      </c>
      <c r="CR6" t="s">
        <v>211</v>
      </c>
      <c r="CS6" t="s">
        <v>209</v>
      </c>
      <c r="CT6" t="s">
        <v>177</v>
      </c>
      <c r="CU6" t="s">
        <v>204</v>
      </c>
      <c r="CV6" t="s">
        <v>209</v>
      </c>
      <c r="CW6" t="s">
        <v>201</v>
      </c>
      <c r="CX6" t="s">
        <v>486</v>
      </c>
      <c r="CY6" t="s">
        <v>209</v>
      </c>
      <c r="CZ6" t="s">
        <v>281</v>
      </c>
      <c r="DA6" t="s">
        <v>497</v>
      </c>
      <c r="DB6" t="s">
        <v>177</v>
      </c>
      <c r="DC6" t="s">
        <v>207</v>
      </c>
      <c r="DD6" t="s">
        <v>213</v>
      </c>
      <c r="DE6" t="s">
        <v>216</v>
      </c>
      <c r="DF6" t="s">
        <v>205</v>
      </c>
      <c r="DG6" t="s">
        <v>497</v>
      </c>
      <c r="DH6" t="s">
        <v>216</v>
      </c>
      <c r="FH6" t="s">
        <v>498</v>
      </c>
    </row>
    <row r="7" spans="1:164" x14ac:dyDescent="0.25">
      <c r="A7">
        <v>4</v>
      </c>
      <c r="B7" t="s">
        <v>164</v>
      </c>
      <c r="C7">
        <v>46</v>
      </c>
      <c r="D7">
        <v>4601</v>
      </c>
      <c r="E7">
        <v>986171096</v>
      </c>
      <c r="F7" t="s">
        <v>165</v>
      </c>
      <c r="G7" t="s">
        <v>166</v>
      </c>
      <c r="H7" t="s">
        <v>167</v>
      </c>
      <c r="I7" t="s">
        <v>499</v>
      </c>
      <c r="J7" t="e">
        <f>TRIM(#REF!)</f>
        <v>#REF!</v>
      </c>
      <c r="K7" t="e">
        <f>#REF!&amp;#REF!&amp;#REF!</f>
        <v>#REF!</v>
      </c>
      <c r="L7" t="str">
        <f>IFERROR(VLOOKUP(#REF!,工作表1!E:I,2,FALSE),"")</f>
        <v/>
      </c>
      <c r="M7" t="str">
        <f>IFERROR(VLOOKUP(#REF!,工作表1!E:I,3,FALSE),"")</f>
        <v/>
      </c>
      <c r="N7" t="str">
        <f>IFERROR(VLOOKUP(#REF!,工作表1!E:I,4,FALSE),"")</f>
        <v/>
      </c>
      <c r="O7" t="str">
        <f>IFERROR(VLOOKUP(#REF!,工作表1!E:I,5,FALSE),"")</f>
        <v/>
      </c>
      <c r="P7" t="s">
        <v>500</v>
      </c>
      <c r="Q7" t="s">
        <v>501</v>
      </c>
      <c r="R7" t="s">
        <v>502</v>
      </c>
      <c r="T7" t="s">
        <v>503</v>
      </c>
      <c r="U7" t="s">
        <v>504</v>
      </c>
      <c r="V7" t="s">
        <v>505</v>
      </c>
      <c r="X7" t="s">
        <v>506</v>
      </c>
      <c r="Y7" t="s">
        <v>502</v>
      </c>
      <c r="Z7" t="s">
        <v>504</v>
      </c>
      <c r="AB7" t="s">
        <v>507</v>
      </c>
      <c r="AC7" t="s">
        <v>508</v>
      </c>
      <c r="AD7" t="s">
        <v>501</v>
      </c>
      <c r="AF7" t="s">
        <v>509</v>
      </c>
      <c r="AG7" t="s">
        <v>481</v>
      </c>
      <c r="AH7" t="s">
        <v>473</v>
      </c>
      <c r="AJ7" t="s">
        <v>176</v>
      </c>
      <c r="AK7" t="s">
        <v>510</v>
      </c>
      <c r="AL7" t="s">
        <v>511</v>
      </c>
      <c r="AM7" t="s">
        <v>494</v>
      </c>
      <c r="AN7" t="s">
        <v>512</v>
      </c>
      <c r="AO7" t="s">
        <v>513</v>
      </c>
      <c r="AP7" t="s">
        <v>514</v>
      </c>
      <c r="AQ7" t="s">
        <v>495</v>
      </c>
      <c r="AR7" t="s">
        <v>474</v>
      </c>
      <c r="AS7" t="s">
        <v>515</v>
      </c>
      <c r="AT7" t="s">
        <v>516</v>
      </c>
      <c r="AU7" t="s">
        <v>301</v>
      </c>
      <c r="AV7" t="s">
        <v>182</v>
      </c>
      <c r="AW7" t="s">
        <v>517</v>
      </c>
      <c r="AX7" t="s">
        <v>518</v>
      </c>
      <c r="AY7" t="s">
        <v>186</v>
      </c>
      <c r="AZ7" t="s">
        <v>519</v>
      </c>
      <c r="BA7" t="s">
        <v>520</v>
      </c>
      <c r="BB7" t="s">
        <v>521</v>
      </c>
      <c r="BC7" t="s">
        <v>522</v>
      </c>
      <c r="BD7">
        <v>1648</v>
      </c>
      <c r="BE7">
        <v>1654</v>
      </c>
      <c r="BF7">
        <v>1691</v>
      </c>
      <c r="BG7">
        <v>1609</v>
      </c>
      <c r="BH7">
        <v>1521</v>
      </c>
      <c r="BY7" t="s">
        <v>174</v>
      </c>
      <c r="BZ7" t="s">
        <v>486</v>
      </c>
      <c r="CA7" t="s">
        <v>523</v>
      </c>
      <c r="CB7" t="s">
        <v>496</v>
      </c>
      <c r="CC7" t="s">
        <v>202</v>
      </c>
      <c r="CD7" t="s">
        <v>523</v>
      </c>
      <c r="CE7" t="s">
        <v>201</v>
      </c>
      <c r="CF7" t="s">
        <v>214</v>
      </c>
      <c r="CG7" t="s">
        <v>523</v>
      </c>
      <c r="CH7" t="s">
        <v>281</v>
      </c>
      <c r="CI7" t="s">
        <v>213</v>
      </c>
      <c r="CJ7" t="s">
        <v>177</v>
      </c>
      <c r="CK7" t="s">
        <v>201</v>
      </c>
      <c r="CL7" t="s">
        <v>494</v>
      </c>
      <c r="CM7" t="s">
        <v>216</v>
      </c>
      <c r="CN7" t="s">
        <v>177</v>
      </c>
      <c r="CO7" t="s">
        <v>214</v>
      </c>
      <c r="CP7" t="s">
        <v>216</v>
      </c>
      <c r="CQ7" t="s">
        <v>207</v>
      </c>
      <c r="CR7" t="s">
        <v>204</v>
      </c>
      <c r="CS7" t="s">
        <v>524</v>
      </c>
      <c r="CT7" t="s">
        <v>215</v>
      </c>
      <c r="CU7" t="s">
        <v>208</v>
      </c>
      <c r="CV7" t="s">
        <v>524</v>
      </c>
      <c r="CW7" t="s">
        <v>207</v>
      </c>
      <c r="CX7" t="s">
        <v>202</v>
      </c>
      <c r="CY7" t="s">
        <v>203</v>
      </c>
      <c r="CZ7" t="s">
        <v>174</v>
      </c>
      <c r="DA7" t="s">
        <v>204</v>
      </c>
      <c r="DB7" t="s">
        <v>525</v>
      </c>
      <c r="DC7" t="s">
        <v>174</v>
      </c>
      <c r="DD7" t="s">
        <v>214</v>
      </c>
      <c r="DE7" t="s">
        <v>525</v>
      </c>
      <c r="DF7" t="s">
        <v>183</v>
      </c>
      <c r="DG7" t="s">
        <v>213</v>
      </c>
      <c r="DH7" t="s">
        <v>525</v>
      </c>
      <c r="FH7" t="s">
        <v>526</v>
      </c>
    </row>
    <row r="8" spans="1:164" x14ac:dyDescent="0.25">
      <c r="A8">
        <v>4</v>
      </c>
      <c r="B8" t="s">
        <v>164</v>
      </c>
      <c r="C8">
        <v>46</v>
      </c>
      <c r="D8">
        <v>4601</v>
      </c>
      <c r="E8">
        <v>974738465</v>
      </c>
      <c r="F8" t="s">
        <v>165</v>
      </c>
      <c r="G8" t="s">
        <v>166</v>
      </c>
      <c r="H8" t="s">
        <v>167</v>
      </c>
      <c r="I8" t="s">
        <v>527</v>
      </c>
      <c r="J8" t="e">
        <f>TRIM(#REF!)</f>
        <v>#REF!</v>
      </c>
      <c r="K8" t="e">
        <f>#REF!&amp;#REF!&amp;#REF!</f>
        <v>#REF!</v>
      </c>
      <c r="L8" t="str">
        <f>IFERROR(VLOOKUP(#REF!,工作表1!E:I,2,FALSE),"")</f>
        <v/>
      </c>
      <c r="M8" t="str">
        <f>IFERROR(VLOOKUP(#REF!,工作表1!E:I,3,FALSE),"")</f>
        <v/>
      </c>
      <c r="N8" t="str">
        <f>IFERROR(VLOOKUP(#REF!,工作表1!E:I,4,FALSE),"")</f>
        <v/>
      </c>
      <c r="O8" t="str">
        <f>IFERROR(VLOOKUP(#REF!,工作表1!E:I,5,FALSE),"")</f>
        <v/>
      </c>
      <c r="P8" t="s">
        <v>528</v>
      </c>
      <c r="Q8" t="s">
        <v>529</v>
      </c>
      <c r="R8" t="s">
        <v>530</v>
      </c>
      <c r="T8" t="s">
        <v>528</v>
      </c>
      <c r="U8" t="s">
        <v>173</v>
      </c>
      <c r="V8" t="s">
        <v>474</v>
      </c>
      <c r="X8" t="s">
        <v>531</v>
      </c>
      <c r="Y8" t="s">
        <v>512</v>
      </c>
      <c r="Z8" t="s">
        <v>187</v>
      </c>
      <c r="AB8" t="s">
        <v>532</v>
      </c>
      <c r="AC8" t="s">
        <v>533</v>
      </c>
      <c r="AD8" t="s">
        <v>474</v>
      </c>
      <c r="AF8" t="s">
        <v>534</v>
      </c>
      <c r="AG8" t="s">
        <v>489</v>
      </c>
      <c r="AH8" t="s">
        <v>473</v>
      </c>
      <c r="AJ8" t="s">
        <v>174</v>
      </c>
      <c r="AK8" t="s">
        <v>535</v>
      </c>
      <c r="AL8" t="s">
        <v>435</v>
      </c>
      <c r="AM8" t="s">
        <v>536</v>
      </c>
      <c r="AN8" t="s">
        <v>174</v>
      </c>
      <c r="AO8" t="s">
        <v>537</v>
      </c>
      <c r="AP8" t="s">
        <v>538</v>
      </c>
      <c r="AQ8" t="s">
        <v>539</v>
      </c>
      <c r="AR8" t="s">
        <v>201</v>
      </c>
      <c r="AS8" t="s">
        <v>540</v>
      </c>
      <c r="AT8" t="s">
        <v>541</v>
      </c>
      <c r="AU8" t="s">
        <v>542</v>
      </c>
      <c r="AV8" t="s">
        <v>183</v>
      </c>
      <c r="AW8" t="s">
        <v>543</v>
      </c>
      <c r="AX8" t="s">
        <v>437</v>
      </c>
      <c r="AY8" t="s">
        <v>544</v>
      </c>
      <c r="AZ8" t="s">
        <v>281</v>
      </c>
      <c r="BA8" t="s">
        <v>545</v>
      </c>
      <c r="BB8" t="s">
        <v>546</v>
      </c>
      <c r="BC8" t="s">
        <v>547</v>
      </c>
      <c r="BD8">
        <v>1928</v>
      </c>
      <c r="BE8">
        <v>1916</v>
      </c>
      <c r="BF8">
        <v>1970</v>
      </c>
      <c r="BG8">
        <v>1925</v>
      </c>
      <c r="BH8">
        <v>1819</v>
      </c>
      <c r="BI8" t="s">
        <v>261</v>
      </c>
      <c r="BJ8" t="s">
        <v>262</v>
      </c>
      <c r="BK8" t="s">
        <v>351</v>
      </c>
      <c r="BL8" t="s">
        <v>548</v>
      </c>
      <c r="BM8" t="s">
        <v>263</v>
      </c>
      <c r="BN8" t="s">
        <v>549</v>
      </c>
      <c r="BO8" t="s">
        <v>550</v>
      </c>
      <c r="BP8" t="s">
        <v>551</v>
      </c>
      <c r="BQ8" t="s">
        <v>550</v>
      </c>
      <c r="BR8" t="s">
        <v>552</v>
      </c>
      <c r="BS8" t="s">
        <v>553</v>
      </c>
      <c r="BT8" t="s">
        <v>554</v>
      </c>
      <c r="BU8" t="s">
        <v>269</v>
      </c>
      <c r="BV8" t="s">
        <v>552</v>
      </c>
      <c r="BW8" t="s">
        <v>555</v>
      </c>
      <c r="BX8" t="s">
        <v>552</v>
      </c>
      <c r="DK8" t="s">
        <v>556</v>
      </c>
      <c r="DL8" t="s">
        <v>205</v>
      </c>
      <c r="DM8" t="s">
        <v>557</v>
      </c>
      <c r="DN8" t="s">
        <v>281</v>
      </c>
      <c r="DO8" t="s">
        <v>174</v>
      </c>
      <c r="DP8" t="s">
        <v>558</v>
      </c>
      <c r="DQ8" t="s">
        <v>559</v>
      </c>
      <c r="DR8" t="s">
        <v>207</v>
      </c>
      <c r="DS8" t="s">
        <v>560</v>
      </c>
      <c r="DT8" t="s">
        <v>561</v>
      </c>
      <c r="DU8" t="s">
        <v>177</v>
      </c>
      <c r="DV8" t="s">
        <v>562</v>
      </c>
      <c r="DW8" t="s">
        <v>561</v>
      </c>
      <c r="DX8" t="s">
        <v>207</v>
      </c>
      <c r="DY8" t="s">
        <v>562</v>
      </c>
      <c r="DZ8" t="s">
        <v>561</v>
      </c>
      <c r="EA8" t="s">
        <v>174</v>
      </c>
      <c r="EB8" t="s">
        <v>560</v>
      </c>
      <c r="EC8" t="s">
        <v>563</v>
      </c>
      <c r="ED8" t="s">
        <v>216</v>
      </c>
      <c r="EE8" t="s">
        <v>564</v>
      </c>
      <c r="EF8" t="s">
        <v>565</v>
      </c>
      <c r="EG8" t="s">
        <v>281</v>
      </c>
      <c r="EH8" t="s">
        <v>562</v>
      </c>
      <c r="EI8" t="s">
        <v>559</v>
      </c>
      <c r="EJ8" t="s">
        <v>174</v>
      </c>
      <c r="EK8" t="s">
        <v>566</v>
      </c>
      <c r="EL8" t="s">
        <v>567</v>
      </c>
      <c r="EM8" t="s">
        <v>177</v>
      </c>
      <c r="EN8" t="s">
        <v>566</v>
      </c>
      <c r="EO8" t="s">
        <v>568</v>
      </c>
      <c r="EP8" t="s">
        <v>216</v>
      </c>
      <c r="EQ8" t="s">
        <v>566</v>
      </c>
      <c r="ER8" t="s">
        <v>569</v>
      </c>
      <c r="ES8" t="s">
        <v>300</v>
      </c>
      <c r="ET8" t="s">
        <v>211</v>
      </c>
      <c r="EU8" t="s">
        <v>570</v>
      </c>
      <c r="EV8" t="s">
        <v>571</v>
      </c>
      <c r="EW8" t="s">
        <v>468</v>
      </c>
      <c r="EX8" t="s">
        <v>572</v>
      </c>
      <c r="EY8">
        <v>90</v>
      </c>
      <c r="EZ8">
        <v>130</v>
      </c>
      <c r="FA8" t="s">
        <v>573</v>
      </c>
      <c r="FB8" t="s">
        <v>388</v>
      </c>
      <c r="FC8" t="s">
        <v>574</v>
      </c>
      <c r="FD8" t="s">
        <v>575</v>
      </c>
      <c r="FE8">
        <v>90</v>
      </c>
      <c r="FF8">
        <v>80</v>
      </c>
      <c r="FG8" t="s">
        <v>576</v>
      </c>
      <c r="FH8" t="s">
        <v>577</v>
      </c>
    </row>
    <row r="9" spans="1:164" x14ac:dyDescent="0.25">
      <c r="A9">
        <v>4</v>
      </c>
      <c r="B9" t="s">
        <v>164</v>
      </c>
      <c r="C9">
        <v>46</v>
      </c>
      <c r="D9">
        <v>4601</v>
      </c>
      <c r="E9">
        <v>974222078</v>
      </c>
      <c r="F9" t="s">
        <v>165</v>
      </c>
      <c r="G9" t="s">
        <v>166</v>
      </c>
      <c r="H9" t="s">
        <v>167</v>
      </c>
      <c r="I9" t="s">
        <v>578</v>
      </c>
      <c r="J9" t="e">
        <f>TRIM(#REF!)</f>
        <v>#REF!</v>
      </c>
      <c r="K9" t="e">
        <f>#REF!&amp;#REF!&amp;#REF!</f>
        <v>#REF!</v>
      </c>
      <c r="L9" t="str">
        <f>IFERROR(VLOOKUP(#REF!,工作表1!E:I,2,FALSE),"")</f>
        <v/>
      </c>
      <c r="M9" t="str">
        <f>IFERROR(VLOOKUP(#REF!,工作表1!E:I,3,FALSE),"")</f>
        <v/>
      </c>
      <c r="N9" t="str">
        <f>IFERROR(VLOOKUP(#REF!,工作表1!E:I,4,FALSE),"")</f>
        <v/>
      </c>
      <c r="O9" t="str">
        <f>IFERROR(VLOOKUP(#REF!,工作表1!E:I,5,FALSE),"")</f>
        <v/>
      </c>
      <c r="P9" t="s">
        <v>579</v>
      </c>
      <c r="Q9" t="s">
        <v>580</v>
      </c>
      <c r="R9" t="s">
        <v>496</v>
      </c>
      <c r="T9" t="s">
        <v>579</v>
      </c>
      <c r="U9" t="s">
        <v>581</v>
      </c>
      <c r="V9" t="s">
        <v>582</v>
      </c>
      <c r="X9" t="s">
        <v>583</v>
      </c>
      <c r="Y9" t="s">
        <v>170</v>
      </c>
      <c r="Z9" t="s">
        <v>584</v>
      </c>
      <c r="AB9" t="s">
        <v>585</v>
      </c>
      <c r="AC9" t="s">
        <v>173</v>
      </c>
      <c r="AD9" t="s">
        <v>586</v>
      </c>
      <c r="AF9" t="s">
        <v>587</v>
      </c>
      <c r="AG9" t="s">
        <v>173</v>
      </c>
      <c r="AH9" t="s">
        <v>180</v>
      </c>
      <c r="AJ9" t="s">
        <v>588</v>
      </c>
      <c r="AK9" t="s">
        <v>589</v>
      </c>
      <c r="AL9" t="s">
        <v>590</v>
      </c>
      <c r="AM9" t="s">
        <v>495</v>
      </c>
      <c r="AN9" t="s">
        <v>588</v>
      </c>
      <c r="AO9" t="s">
        <v>591</v>
      </c>
      <c r="AP9" t="s">
        <v>592</v>
      </c>
      <c r="AQ9" t="s">
        <v>213</v>
      </c>
      <c r="AR9" t="s">
        <v>593</v>
      </c>
      <c r="AS9" t="s">
        <v>594</v>
      </c>
      <c r="AT9" t="s">
        <v>188</v>
      </c>
      <c r="AU9" t="s">
        <v>208</v>
      </c>
      <c r="AV9" t="s">
        <v>595</v>
      </c>
      <c r="AW9" t="s">
        <v>596</v>
      </c>
      <c r="AX9" t="s">
        <v>597</v>
      </c>
      <c r="AY9" t="s">
        <v>598</v>
      </c>
      <c r="AZ9" t="s">
        <v>595</v>
      </c>
      <c r="BA9" t="s">
        <v>599</v>
      </c>
      <c r="BB9" t="s">
        <v>597</v>
      </c>
      <c r="BC9" t="s">
        <v>266</v>
      </c>
      <c r="BD9">
        <v>1651</v>
      </c>
      <c r="BE9">
        <v>1693</v>
      </c>
      <c r="BF9">
        <v>1683</v>
      </c>
      <c r="BG9">
        <v>1677</v>
      </c>
      <c r="BH9">
        <v>1676</v>
      </c>
      <c r="BY9" t="s">
        <v>201</v>
      </c>
      <c r="BZ9" t="s">
        <v>204</v>
      </c>
      <c r="CA9" t="s">
        <v>281</v>
      </c>
      <c r="CB9" t="s">
        <v>201</v>
      </c>
      <c r="CC9" t="s">
        <v>495</v>
      </c>
      <c r="CD9" t="s">
        <v>281</v>
      </c>
      <c r="CE9" t="s">
        <v>496</v>
      </c>
      <c r="CF9" t="s">
        <v>214</v>
      </c>
      <c r="CG9" t="s">
        <v>281</v>
      </c>
      <c r="CH9" t="s">
        <v>201</v>
      </c>
      <c r="CI9" t="s">
        <v>557</v>
      </c>
      <c r="CJ9" t="s">
        <v>215</v>
      </c>
      <c r="CK9" t="s">
        <v>281</v>
      </c>
      <c r="CL9" t="s">
        <v>204</v>
      </c>
      <c r="CM9" t="s">
        <v>217</v>
      </c>
      <c r="CN9" t="s">
        <v>600</v>
      </c>
      <c r="CO9" t="s">
        <v>497</v>
      </c>
      <c r="CP9" t="s">
        <v>217</v>
      </c>
      <c r="CQ9" t="s">
        <v>183</v>
      </c>
      <c r="CR9" t="s">
        <v>206</v>
      </c>
      <c r="CS9" t="s">
        <v>525</v>
      </c>
      <c r="CT9" t="s">
        <v>281</v>
      </c>
      <c r="CU9" t="s">
        <v>557</v>
      </c>
      <c r="CV9" t="s">
        <v>525</v>
      </c>
      <c r="CW9" t="s">
        <v>496</v>
      </c>
      <c r="CX9" t="s">
        <v>211</v>
      </c>
      <c r="CY9" t="s">
        <v>215</v>
      </c>
      <c r="CZ9" t="s">
        <v>207</v>
      </c>
      <c r="DA9" t="s">
        <v>213</v>
      </c>
      <c r="DB9" t="s">
        <v>601</v>
      </c>
      <c r="DC9" t="s">
        <v>177</v>
      </c>
      <c r="DD9" t="s">
        <v>497</v>
      </c>
      <c r="DE9" t="s">
        <v>601</v>
      </c>
      <c r="DF9" t="s">
        <v>174</v>
      </c>
      <c r="DG9" t="s">
        <v>214</v>
      </c>
      <c r="DH9" t="s">
        <v>601</v>
      </c>
      <c r="FH9" t="s">
        <v>602</v>
      </c>
    </row>
    <row r="10" spans="1:164" x14ac:dyDescent="0.25">
      <c r="A10">
        <v>4</v>
      </c>
      <c r="B10" t="s">
        <v>164</v>
      </c>
      <c r="C10">
        <v>46</v>
      </c>
      <c r="D10">
        <v>4601</v>
      </c>
      <c r="E10">
        <v>974737884</v>
      </c>
      <c r="F10" t="s">
        <v>165</v>
      </c>
      <c r="G10" t="s">
        <v>166</v>
      </c>
      <c r="H10" t="s">
        <v>167</v>
      </c>
      <c r="I10" t="s">
        <v>603</v>
      </c>
      <c r="J10" t="e">
        <f>TRIM(#REF!)</f>
        <v>#REF!</v>
      </c>
      <c r="K10" t="e">
        <f>#REF!&amp;#REF!&amp;#REF!</f>
        <v>#REF!</v>
      </c>
      <c r="L10" t="str">
        <f>IFERROR(VLOOKUP(#REF!,工作表1!E:I,2,FALSE),"")</f>
        <v/>
      </c>
      <c r="M10" t="str">
        <f>IFERROR(VLOOKUP(#REF!,工作表1!E:I,3,FALSE),"")</f>
        <v/>
      </c>
      <c r="N10" t="str">
        <f>IFERROR(VLOOKUP(#REF!,工作表1!E:I,4,FALSE),"")</f>
        <v/>
      </c>
      <c r="O10" t="str">
        <f>IFERROR(VLOOKUP(#REF!,工作表1!E:I,5,FALSE),"")</f>
        <v/>
      </c>
      <c r="P10" t="s">
        <v>529</v>
      </c>
      <c r="Q10" t="s">
        <v>604</v>
      </c>
      <c r="R10" t="s">
        <v>556</v>
      </c>
      <c r="T10" t="s">
        <v>170</v>
      </c>
      <c r="U10" t="s">
        <v>604</v>
      </c>
      <c r="V10" t="s">
        <v>556</v>
      </c>
      <c r="X10" t="s">
        <v>170</v>
      </c>
      <c r="Y10" t="s">
        <v>604</v>
      </c>
      <c r="Z10" t="s">
        <v>556</v>
      </c>
      <c r="AB10" t="s">
        <v>173</v>
      </c>
      <c r="AC10" t="s">
        <v>604</v>
      </c>
      <c r="AD10" t="s">
        <v>556</v>
      </c>
      <c r="AF10" t="s">
        <v>474</v>
      </c>
      <c r="AG10" t="s">
        <v>604</v>
      </c>
      <c r="AH10" t="s">
        <v>556</v>
      </c>
      <c r="AJ10" t="s">
        <v>505</v>
      </c>
      <c r="AK10" t="s">
        <v>605</v>
      </c>
      <c r="AL10" t="s">
        <v>536</v>
      </c>
      <c r="AM10" t="s">
        <v>606</v>
      </c>
      <c r="AN10" t="s">
        <v>502</v>
      </c>
      <c r="AO10" t="s">
        <v>607</v>
      </c>
      <c r="AP10" t="s">
        <v>388</v>
      </c>
      <c r="AQ10" t="s">
        <v>606</v>
      </c>
      <c r="AR10" t="s">
        <v>608</v>
      </c>
      <c r="AS10" t="s">
        <v>607</v>
      </c>
      <c r="AT10" t="s">
        <v>388</v>
      </c>
      <c r="AU10" t="s">
        <v>606</v>
      </c>
      <c r="AV10" t="s">
        <v>502</v>
      </c>
      <c r="AW10" t="s">
        <v>607</v>
      </c>
      <c r="AX10" t="s">
        <v>388</v>
      </c>
      <c r="AY10" t="s">
        <v>606</v>
      </c>
      <c r="AZ10" t="s">
        <v>608</v>
      </c>
      <c r="BA10" t="s">
        <v>607</v>
      </c>
      <c r="BB10" t="s">
        <v>388</v>
      </c>
      <c r="BC10" t="s">
        <v>606</v>
      </c>
      <c r="BD10">
        <v>0</v>
      </c>
      <c r="BE10">
        <v>0</v>
      </c>
      <c r="BF10">
        <v>0</v>
      </c>
      <c r="BG10">
        <v>0</v>
      </c>
      <c r="BH10">
        <v>0</v>
      </c>
      <c r="BI10" t="s">
        <v>261</v>
      </c>
      <c r="BJ10" t="s">
        <v>262</v>
      </c>
      <c r="BK10" t="s">
        <v>604</v>
      </c>
      <c r="BL10" t="s">
        <v>604</v>
      </c>
      <c r="BM10" t="s">
        <v>604</v>
      </c>
      <c r="BN10" t="s">
        <v>604</v>
      </c>
      <c r="BO10" t="s">
        <v>604</v>
      </c>
      <c r="BP10" t="s">
        <v>604</v>
      </c>
      <c r="BQ10" t="s">
        <v>604</v>
      </c>
      <c r="BR10" t="s">
        <v>604</v>
      </c>
      <c r="BS10" t="s">
        <v>604</v>
      </c>
      <c r="BT10" t="s">
        <v>604</v>
      </c>
      <c r="BU10" t="s">
        <v>604</v>
      </c>
      <c r="BV10" t="s">
        <v>604</v>
      </c>
      <c r="BW10" t="s">
        <v>604</v>
      </c>
      <c r="BX10" t="s">
        <v>604</v>
      </c>
      <c r="DK10" t="s">
        <v>556</v>
      </c>
      <c r="DN10" t="s">
        <v>556</v>
      </c>
      <c r="DQ10" t="s">
        <v>556</v>
      </c>
      <c r="DT10" t="s">
        <v>556</v>
      </c>
      <c r="DW10" t="s">
        <v>556</v>
      </c>
      <c r="DZ10" t="s">
        <v>556</v>
      </c>
      <c r="EC10" t="s">
        <v>556</v>
      </c>
      <c r="EF10" t="s">
        <v>556</v>
      </c>
      <c r="EI10" t="s">
        <v>556</v>
      </c>
    </row>
    <row r="11" spans="1:164" x14ac:dyDescent="0.25">
      <c r="A11">
        <v>4</v>
      </c>
      <c r="B11" t="s">
        <v>164</v>
      </c>
      <c r="C11">
        <v>46</v>
      </c>
      <c r="D11">
        <v>4601</v>
      </c>
      <c r="E11">
        <v>974309424</v>
      </c>
      <c r="F11" t="s">
        <v>165</v>
      </c>
      <c r="G11" t="s">
        <v>166</v>
      </c>
      <c r="H11" t="s">
        <v>167</v>
      </c>
      <c r="I11" t="s">
        <v>609</v>
      </c>
      <c r="J11" t="e">
        <f>TRIM(#REF!)</f>
        <v>#REF!</v>
      </c>
      <c r="K11" t="e">
        <f>#REF!&amp;#REF!&amp;#REF!</f>
        <v>#REF!</v>
      </c>
      <c r="L11" t="str">
        <f>IFERROR(VLOOKUP(#REF!,工作表1!E:I,2,FALSE),"")</f>
        <v/>
      </c>
      <c r="M11" t="str">
        <f>IFERROR(VLOOKUP(#REF!,工作表1!E:I,3,FALSE),"")</f>
        <v/>
      </c>
      <c r="N11" t="str">
        <f>IFERROR(VLOOKUP(#REF!,工作表1!E:I,4,FALSE),"")</f>
        <v/>
      </c>
      <c r="O11" t="str">
        <f>IFERROR(VLOOKUP(#REF!,工作表1!E:I,5,FALSE),"")</f>
        <v/>
      </c>
      <c r="P11" t="s">
        <v>610</v>
      </c>
      <c r="Q11" t="s">
        <v>182</v>
      </c>
      <c r="R11" t="s">
        <v>473</v>
      </c>
      <c r="T11" t="s">
        <v>611</v>
      </c>
      <c r="U11" t="s">
        <v>612</v>
      </c>
      <c r="V11" t="s">
        <v>581</v>
      </c>
      <c r="X11" t="s">
        <v>613</v>
      </c>
      <c r="Y11" t="s">
        <v>173</v>
      </c>
      <c r="Z11" t="s">
        <v>529</v>
      </c>
      <c r="AB11" t="s">
        <v>614</v>
      </c>
      <c r="AC11" t="s">
        <v>512</v>
      </c>
      <c r="AD11" t="s">
        <v>588</v>
      </c>
      <c r="AF11" t="s">
        <v>615</v>
      </c>
      <c r="AG11" t="s">
        <v>519</v>
      </c>
      <c r="AH11" t="s">
        <v>519</v>
      </c>
      <c r="AJ11" t="s">
        <v>179</v>
      </c>
      <c r="AK11" t="s">
        <v>616</v>
      </c>
      <c r="AL11" t="s">
        <v>617</v>
      </c>
      <c r="AM11" t="s">
        <v>618</v>
      </c>
      <c r="AN11" t="s">
        <v>179</v>
      </c>
      <c r="AO11" t="s">
        <v>619</v>
      </c>
      <c r="AP11" t="s">
        <v>620</v>
      </c>
      <c r="AQ11" t="s">
        <v>522</v>
      </c>
      <c r="AR11" t="s">
        <v>519</v>
      </c>
      <c r="AS11" t="s">
        <v>511</v>
      </c>
      <c r="AT11" t="s">
        <v>621</v>
      </c>
      <c r="AU11" t="s">
        <v>494</v>
      </c>
      <c r="AV11" t="s">
        <v>612</v>
      </c>
      <c r="AW11" t="s">
        <v>483</v>
      </c>
      <c r="AX11" t="s">
        <v>622</v>
      </c>
      <c r="AY11" t="s">
        <v>623</v>
      </c>
      <c r="AZ11" t="s">
        <v>191</v>
      </c>
      <c r="BA11" t="s">
        <v>624</v>
      </c>
      <c r="BB11" t="s">
        <v>625</v>
      </c>
      <c r="BC11" t="s">
        <v>626</v>
      </c>
      <c r="BD11">
        <v>1370</v>
      </c>
      <c r="BE11">
        <v>1851</v>
      </c>
      <c r="BF11">
        <v>1504</v>
      </c>
      <c r="BG11">
        <v>1647</v>
      </c>
      <c r="BH11">
        <v>1609</v>
      </c>
      <c r="BI11" t="s">
        <v>349</v>
      </c>
      <c r="BJ11" t="s">
        <v>350</v>
      </c>
      <c r="BK11" t="s">
        <v>604</v>
      </c>
      <c r="BL11" t="s">
        <v>604</v>
      </c>
      <c r="BM11" t="s">
        <v>604</v>
      </c>
      <c r="BN11" t="s">
        <v>604</v>
      </c>
      <c r="BO11" t="s">
        <v>351</v>
      </c>
      <c r="BP11" t="s">
        <v>505</v>
      </c>
      <c r="BQ11" t="s">
        <v>604</v>
      </c>
      <c r="BR11" t="s">
        <v>604</v>
      </c>
      <c r="BS11" t="s">
        <v>541</v>
      </c>
      <c r="BT11" t="s">
        <v>501</v>
      </c>
      <c r="BU11" t="s">
        <v>627</v>
      </c>
      <c r="BV11" t="s">
        <v>505</v>
      </c>
      <c r="BW11" t="s">
        <v>628</v>
      </c>
      <c r="BX11" t="s">
        <v>529</v>
      </c>
      <c r="BY11" t="s">
        <v>177</v>
      </c>
      <c r="BZ11" t="s">
        <v>266</v>
      </c>
      <c r="CA11" t="s">
        <v>529</v>
      </c>
      <c r="CB11" t="s">
        <v>216</v>
      </c>
      <c r="CC11" t="s">
        <v>186</v>
      </c>
      <c r="CD11" t="s">
        <v>474</v>
      </c>
      <c r="CE11" t="s">
        <v>217</v>
      </c>
      <c r="CF11" t="s">
        <v>550</v>
      </c>
      <c r="CG11" t="s">
        <v>170</v>
      </c>
      <c r="CH11" t="s">
        <v>201</v>
      </c>
      <c r="CI11" t="s">
        <v>202</v>
      </c>
      <c r="CJ11" t="s">
        <v>473</v>
      </c>
      <c r="CK11" t="s">
        <v>525</v>
      </c>
      <c r="CL11" t="s">
        <v>208</v>
      </c>
      <c r="CM11" t="s">
        <v>170</v>
      </c>
      <c r="CN11" t="s">
        <v>177</v>
      </c>
      <c r="CO11" t="s">
        <v>211</v>
      </c>
      <c r="CP11" t="s">
        <v>581</v>
      </c>
      <c r="CQ11" t="s">
        <v>201</v>
      </c>
      <c r="CR11" t="s">
        <v>550</v>
      </c>
      <c r="CS11" t="s">
        <v>476</v>
      </c>
      <c r="CT11" t="s">
        <v>177</v>
      </c>
      <c r="CU11" t="s">
        <v>486</v>
      </c>
      <c r="CV11" t="s">
        <v>476</v>
      </c>
      <c r="CW11" t="s">
        <v>281</v>
      </c>
      <c r="CX11" t="s">
        <v>629</v>
      </c>
      <c r="CY11" t="s">
        <v>476</v>
      </c>
      <c r="CZ11" t="s">
        <v>281</v>
      </c>
      <c r="DA11" t="s">
        <v>550</v>
      </c>
      <c r="DB11" t="s">
        <v>170</v>
      </c>
      <c r="DC11" t="s">
        <v>177</v>
      </c>
      <c r="DD11" t="s">
        <v>630</v>
      </c>
      <c r="DE11" t="s">
        <v>476</v>
      </c>
      <c r="DF11" t="s">
        <v>210</v>
      </c>
      <c r="DG11" t="s">
        <v>631</v>
      </c>
      <c r="DH11" t="s">
        <v>170</v>
      </c>
      <c r="DI11" t="s">
        <v>216</v>
      </c>
      <c r="DJ11" t="s">
        <v>206</v>
      </c>
      <c r="DK11" t="s">
        <v>529</v>
      </c>
      <c r="DL11" t="s">
        <v>216</v>
      </c>
      <c r="DM11" t="s">
        <v>204</v>
      </c>
      <c r="DN11" t="s">
        <v>473</v>
      </c>
      <c r="DO11" t="s">
        <v>217</v>
      </c>
      <c r="DP11" t="s">
        <v>632</v>
      </c>
      <c r="DQ11" t="s">
        <v>173</v>
      </c>
      <c r="DR11" t="s">
        <v>210</v>
      </c>
      <c r="DS11" t="s">
        <v>633</v>
      </c>
      <c r="DT11" t="s">
        <v>480</v>
      </c>
      <c r="DU11" t="s">
        <v>215</v>
      </c>
      <c r="DV11" t="s">
        <v>633</v>
      </c>
      <c r="DW11" t="s">
        <v>505</v>
      </c>
      <c r="DX11" t="s">
        <v>217</v>
      </c>
      <c r="DY11" t="s">
        <v>522</v>
      </c>
      <c r="DZ11" t="s">
        <v>504</v>
      </c>
      <c r="EA11" t="s">
        <v>207</v>
      </c>
      <c r="EB11" t="s">
        <v>208</v>
      </c>
      <c r="EC11" t="s">
        <v>473</v>
      </c>
      <c r="ED11" t="s">
        <v>525</v>
      </c>
      <c r="EE11" t="s">
        <v>186</v>
      </c>
      <c r="EF11" t="s">
        <v>473</v>
      </c>
      <c r="EG11" t="s">
        <v>216</v>
      </c>
      <c r="EH11" t="s">
        <v>633</v>
      </c>
      <c r="EI11" t="s">
        <v>476</v>
      </c>
      <c r="EJ11" t="s">
        <v>207</v>
      </c>
      <c r="EK11" t="s">
        <v>206</v>
      </c>
      <c r="EL11" t="s">
        <v>476</v>
      </c>
      <c r="EM11" t="s">
        <v>210</v>
      </c>
      <c r="EN11" t="s">
        <v>630</v>
      </c>
      <c r="EO11" t="s">
        <v>476</v>
      </c>
      <c r="EP11" t="s">
        <v>215</v>
      </c>
      <c r="EQ11" t="s">
        <v>497</v>
      </c>
      <c r="ER11" t="s">
        <v>501</v>
      </c>
      <c r="ES11" t="s">
        <v>211</v>
      </c>
      <c r="ET11" t="s">
        <v>211</v>
      </c>
      <c r="EU11" t="s">
        <v>474</v>
      </c>
      <c r="EV11" t="s">
        <v>389</v>
      </c>
      <c r="EW11" t="s">
        <v>214</v>
      </c>
      <c r="EX11" t="s">
        <v>529</v>
      </c>
      <c r="EY11">
        <v>100</v>
      </c>
      <c r="EZ11">
        <v>30</v>
      </c>
      <c r="FA11" t="s">
        <v>170</v>
      </c>
      <c r="FB11" t="s">
        <v>634</v>
      </c>
      <c r="FC11" t="s">
        <v>635</v>
      </c>
      <c r="FD11" t="s">
        <v>580</v>
      </c>
      <c r="FE11">
        <v>105</v>
      </c>
      <c r="FF11">
        <v>30</v>
      </c>
      <c r="FG11" t="s">
        <v>533</v>
      </c>
      <c r="FH11" t="s">
        <v>636</v>
      </c>
    </row>
    <row r="12" spans="1:164" x14ac:dyDescent="0.25">
      <c r="A12">
        <v>4</v>
      </c>
      <c r="B12" t="s">
        <v>164</v>
      </c>
      <c r="C12">
        <v>46</v>
      </c>
      <c r="D12">
        <v>4601</v>
      </c>
      <c r="E12">
        <v>974309424</v>
      </c>
      <c r="F12" t="s">
        <v>165</v>
      </c>
      <c r="G12" t="s">
        <v>166</v>
      </c>
      <c r="H12" t="s">
        <v>167</v>
      </c>
      <c r="I12" t="s">
        <v>609</v>
      </c>
      <c r="J12" t="e">
        <f>TRIM(#REF!)</f>
        <v>#REF!</v>
      </c>
      <c r="K12" t="e">
        <f>#REF!&amp;#REF!&amp;#REF!</f>
        <v>#REF!</v>
      </c>
      <c r="L12" t="str">
        <f>IFERROR(VLOOKUP(#REF!,工作表1!E:I,2,FALSE),"")</f>
        <v/>
      </c>
      <c r="M12" t="str">
        <f>IFERROR(VLOOKUP(#REF!,工作表1!E:I,3,FALSE),"")</f>
        <v/>
      </c>
      <c r="N12" t="str">
        <f>IFERROR(VLOOKUP(#REF!,工作表1!E:I,4,FALSE),"")</f>
        <v/>
      </c>
      <c r="O12" t="str">
        <f>IFERROR(VLOOKUP(#REF!,工作表1!E:I,5,FALSE),"")</f>
        <v/>
      </c>
      <c r="P12" t="s">
        <v>610</v>
      </c>
      <c r="Q12" t="s">
        <v>182</v>
      </c>
      <c r="R12" t="s">
        <v>473</v>
      </c>
      <c r="T12" t="s">
        <v>611</v>
      </c>
      <c r="U12" t="s">
        <v>612</v>
      </c>
      <c r="V12" t="s">
        <v>581</v>
      </c>
      <c r="X12" t="s">
        <v>613</v>
      </c>
      <c r="Y12" t="s">
        <v>173</v>
      </c>
      <c r="Z12" t="s">
        <v>529</v>
      </c>
      <c r="AB12" t="s">
        <v>614</v>
      </c>
      <c r="AC12" t="s">
        <v>512</v>
      </c>
      <c r="AD12" t="s">
        <v>588</v>
      </c>
      <c r="AF12" t="s">
        <v>615</v>
      </c>
      <c r="AG12" t="s">
        <v>519</v>
      </c>
      <c r="AH12" t="s">
        <v>519</v>
      </c>
      <c r="AJ12" t="s">
        <v>179</v>
      </c>
      <c r="AK12" t="s">
        <v>616</v>
      </c>
      <c r="AL12" t="s">
        <v>617</v>
      </c>
      <c r="AM12" t="s">
        <v>618</v>
      </c>
      <c r="AN12" t="s">
        <v>179</v>
      </c>
      <c r="AO12" t="s">
        <v>619</v>
      </c>
      <c r="AP12" t="s">
        <v>620</v>
      </c>
      <c r="AQ12" t="s">
        <v>522</v>
      </c>
      <c r="AR12" t="s">
        <v>519</v>
      </c>
      <c r="AS12" t="s">
        <v>511</v>
      </c>
      <c r="AT12" t="s">
        <v>621</v>
      </c>
      <c r="AU12" t="s">
        <v>494</v>
      </c>
      <c r="AV12" t="s">
        <v>612</v>
      </c>
      <c r="AW12" t="s">
        <v>483</v>
      </c>
      <c r="AX12" t="s">
        <v>622</v>
      </c>
      <c r="AY12" t="s">
        <v>623</v>
      </c>
      <c r="AZ12" t="s">
        <v>191</v>
      </c>
      <c r="BA12" t="s">
        <v>624</v>
      </c>
      <c r="BB12" t="s">
        <v>625</v>
      </c>
      <c r="BC12" t="s">
        <v>626</v>
      </c>
      <c r="BD12">
        <v>1370</v>
      </c>
      <c r="BE12">
        <v>1851</v>
      </c>
      <c r="BF12">
        <v>1504</v>
      </c>
      <c r="BG12">
        <v>1647</v>
      </c>
      <c r="BH12">
        <v>1609</v>
      </c>
      <c r="BI12" t="s">
        <v>261</v>
      </c>
      <c r="BJ12" t="s">
        <v>262</v>
      </c>
      <c r="BK12" t="s">
        <v>637</v>
      </c>
      <c r="BL12" t="s">
        <v>476</v>
      </c>
      <c r="BM12" t="s">
        <v>550</v>
      </c>
      <c r="BN12" t="s">
        <v>501</v>
      </c>
      <c r="BO12" t="s">
        <v>630</v>
      </c>
      <c r="BP12" t="s">
        <v>505</v>
      </c>
      <c r="BQ12" t="s">
        <v>623</v>
      </c>
      <c r="BR12" t="s">
        <v>529</v>
      </c>
      <c r="BS12" t="s">
        <v>541</v>
      </c>
      <c r="BT12" t="s">
        <v>501</v>
      </c>
      <c r="BU12" t="s">
        <v>627</v>
      </c>
      <c r="BV12" t="s">
        <v>505</v>
      </c>
      <c r="BW12" t="s">
        <v>628</v>
      </c>
      <c r="BX12" t="s">
        <v>529</v>
      </c>
      <c r="BY12" t="s">
        <v>177</v>
      </c>
      <c r="BZ12" t="s">
        <v>266</v>
      </c>
      <c r="CA12" t="s">
        <v>529</v>
      </c>
      <c r="CB12" t="s">
        <v>216</v>
      </c>
      <c r="CC12" t="s">
        <v>186</v>
      </c>
      <c r="CD12" t="s">
        <v>474</v>
      </c>
      <c r="CE12" t="s">
        <v>217</v>
      </c>
      <c r="CF12" t="s">
        <v>550</v>
      </c>
      <c r="CG12" t="s">
        <v>170</v>
      </c>
      <c r="CH12" t="s">
        <v>201</v>
      </c>
      <c r="CI12" t="s">
        <v>202</v>
      </c>
      <c r="CJ12" t="s">
        <v>473</v>
      </c>
      <c r="CK12" t="s">
        <v>525</v>
      </c>
      <c r="CL12" t="s">
        <v>208</v>
      </c>
      <c r="CM12" t="s">
        <v>170</v>
      </c>
      <c r="CN12" t="s">
        <v>177</v>
      </c>
      <c r="CO12" t="s">
        <v>211</v>
      </c>
      <c r="CP12" t="s">
        <v>581</v>
      </c>
      <c r="CQ12" t="s">
        <v>201</v>
      </c>
      <c r="CR12" t="s">
        <v>550</v>
      </c>
      <c r="CS12" t="s">
        <v>476</v>
      </c>
      <c r="CT12" t="s">
        <v>177</v>
      </c>
      <c r="CU12" t="s">
        <v>486</v>
      </c>
      <c r="CV12" t="s">
        <v>476</v>
      </c>
      <c r="CW12" t="s">
        <v>281</v>
      </c>
      <c r="CX12" t="s">
        <v>629</v>
      </c>
      <c r="CY12" t="s">
        <v>476</v>
      </c>
      <c r="CZ12" t="s">
        <v>281</v>
      </c>
      <c r="DA12" t="s">
        <v>550</v>
      </c>
      <c r="DB12" t="s">
        <v>170</v>
      </c>
      <c r="DC12" t="s">
        <v>177</v>
      </c>
      <c r="DD12" t="s">
        <v>630</v>
      </c>
      <c r="DE12" t="s">
        <v>476</v>
      </c>
      <c r="DF12" t="s">
        <v>210</v>
      </c>
      <c r="DG12" t="s">
        <v>631</v>
      </c>
      <c r="DH12" t="s">
        <v>170</v>
      </c>
      <c r="DI12" t="s">
        <v>216</v>
      </c>
      <c r="DJ12" t="s">
        <v>206</v>
      </c>
      <c r="DK12" t="s">
        <v>529</v>
      </c>
      <c r="DL12" t="s">
        <v>216</v>
      </c>
      <c r="DM12" t="s">
        <v>204</v>
      </c>
      <c r="DN12" t="s">
        <v>473</v>
      </c>
      <c r="DO12" t="s">
        <v>217</v>
      </c>
      <c r="DP12" t="s">
        <v>632</v>
      </c>
      <c r="DQ12" t="s">
        <v>173</v>
      </c>
      <c r="DR12" t="s">
        <v>210</v>
      </c>
      <c r="DS12" t="s">
        <v>633</v>
      </c>
      <c r="DT12" t="s">
        <v>480</v>
      </c>
      <c r="DU12" t="s">
        <v>215</v>
      </c>
      <c r="DV12" t="s">
        <v>633</v>
      </c>
      <c r="DW12" t="s">
        <v>505</v>
      </c>
      <c r="DX12" t="s">
        <v>217</v>
      </c>
      <c r="DY12" t="s">
        <v>522</v>
      </c>
      <c r="DZ12" t="s">
        <v>504</v>
      </c>
      <c r="EA12" t="s">
        <v>207</v>
      </c>
      <c r="EB12" t="s">
        <v>208</v>
      </c>
      <c r="EC12" t="s">
        <v>473</v>
      </c>
      <c r="ED12" t="s">
        <v>525</v>
      </c>
      <c r="EE12" t="s">
        <v>186</v>
      </c>
      <c r="EF12" t="s">
        <v>473</v>
      </c>
      <c r="EG12" t="s">
        <v>216</v>
      </c>
      <c r="EH12" t="s">
        <v>633</v>
      </c>
      <c r="EI12" t="s">
        <v>476</v>
      </c>
      <c r="EJ12" t="s">
        <v>207</v>
      </c>
      <c r="EK12" t="s">
        <v>206</v>
      </c>
      <c r="EL12" t="s">
        <v>476</v>
      </c>
      <c r="EM12" t="s">
        <v>210</v>
      </c>
      <c r="EN12" t="s">
        <v>630</v>
      </c>
      <c r="EO12" t="s">
        <v>476</v>
      </c>
      <c r="EP12" t="s">
        <v>215</v>
      </c>
      <c r="EQ12" t="s">
        <v>497</v>
      </c>
      <c r="ER12" t="s">
        <v>501</v>
      </c>
      <c r="ES12" t="s">
        <v>211</v>
      </c>
      <c r="ET12" t="s">
        <v>211</v>
      </c>
      <c r="EU12" t="s">
        <v>474</v>
      </c>
      <c r="EV12" t="s">
        <v>389</v>
      </c>
      <c r="EW12" t="s">
        <v>214</v>
      </c>
      <c r="EX12" t="s">
        <v>529</v>
      </c>
      <c r="EY12">
        <v>100</v>
      </c>
      <c r="EZ12">
        <v>30</v>
      </c>
      <c r="FA12" t="s">
        <v>170</v>
      </c>
      <c r="FB12" t="s">
        <v>634</v>
      </c>
      <c r="FC12" t="s">
        <v>635</v>
      </c>
      <c r="FD12" t="s">
        <v>580</v>
      </c>
      <c r="FE12">
        <v>105</v>
      </c>
      <c r="FF12">
        <v>30</v>
      </c>
      <c r="FG12" t="s">
        <v>533</v>
      </c>
      <c r="FH12" t="s">
        <v>636</v>
      </c>
    </row>
    <row r="13" spans="1:164" x14ac:dyDescent="0.25">
      <c r="A13">
        <v>4</v>
      </c>
      <c r="B13" t="s">
        <v>164</v>
      </c>
      <c r="C13">
        <v>46</v>
      </c>
      <c r="D13">
        <v>4601</v>
      </c>
      <c r="E13">
        <v>992780010</v>
      </c>
      <c r="F13" t="s">
        <v>165</v>
      </c>
      <c r="G13" t="s">
        <v>166</v>
      </c>
      <c r="H13" t="s">
        <v>167</v>
      </c>
      <c r="I13" t="s">
        <v>638</v>
      </c>
      <c r="J13" t="e">
        <f>TRIM(#REF!)</f>
        <v>#REF!</v>
      </c>
      <c r="K13" t="e">
        <f>#REF!&amp;#REF!&amp;#REF!</f>
        <v>#REF!</v>
      </c>
      <c r="L13" t="str">
        <f>IFERROR(VLOOKUP(#REF!,工作表1!E:I,2,FALSE),"")</f>
        <v/>
      </c>
      <c r="M13" t="str">
        <f>IFERROR(VLOOKUP(#REF!,工作表1!E:I,3,FALSE),"")</f>
        <v/>
      </c>
      <c r="N13" t="str">
        <f>IFERROR(VLOOKUP(#REF!,工作表1!E:I,4,FALSE),"")</f>
        <v/>
      </c>
      <c r="O13" t="str">
        <f>IFERROR(VLOOKUP(#REF!,工作表1!E:I,5,FALSE),"")</f>
        <v/>
      </c>
      <c r="P13" t="s">
        <v>639</v>
      </c>
      <c r="Q13" t="s">
        <v>604</v>
      </c>
      <c r="R13" t="s">
        <v>556</v>
      </c>
      <c r="T13" t="s">
        <v>402</v>
      </c>
      <c r="U13" t="s">
        <v>604</v>
      </c>
      <c r="V13" t="s">
        <v>556</v>
      </c>
      <c r="X13" t="s">
        <v>402</v>
      </c>
      <c r="Y13" t="s">
        <v>604</v>
      </c>
      <c r="Z13" t="s">
        <v>556</v>
      </c>
      <c r="AB13" t="s">
        <v>568</v>
      </c>
      <c r="AC13" t="s">
        <v>481</v>
      </c>
      <c r="AD13" t="s">
        <v>556</v>
      </c>
      <c r="AF13" t="s">
        <v>567</v>
      </c>
      <c r="AG13" t="s">
        <v>481</v>
      </c>
      <c r="AH13" t="s">
        <v>556</v>
      </c>
      <c r="AJ13" t="s">
        <v>608</v>
      </c>
      <c r="AK13" t="s">
        <v>640</v>
      </c>
      <c r="AL13" t="s">
        <v>641</v>
      </c>
      <c r="AM13" t="s">
        <v>446</v>
      </c>
      <c r="AN13" t="s">
        <v>580</v>
      </c>
      <c r="AO13" t="s">
        <v>640</v>
      </c>
      <c r="AP13" t="s">
        <v>641</v>
      </c>
      <c r="AQ13" t="s">
        <v>642</v>
      </c>
      <c r="AR13" t="s">
        <v>505</v>
      </c>
      <c r="AS13" t="s">
        <v>640</v>
      </c>
      <c r="AT13" t="s">
        <v>641</v>
      </c>
      <c r="AU13" t="s">
        <v>643</v>
      </c>
      <c r="AV13" t="s">
        <v>505</v>
      </c>
      <c r="AW13" t="s">
        <v>640</v>
      </c>
      <c r="AX13" t="s">
        <v>641</v>
      </c>
      <c r="AY13" t="s">
        <v>644</v>
      </c>
      <c r="AZ13" t="s">
        <v>505</v>
      </c>
      <c r="BA13" t="s">
        <v>645</v>
      </c>
      <c r="BB13" t="s">
        <v>646</v>
      </c>
      <c r="BC13" t="s">
        <v>186</v>
      </c>
      <c r="BD13">
        <v>1015</v>
      </c>
      <c r="BE13">
        <v>1145</v>
      </c>
      <c r="BF13">
        <v>1167</v>
      </c>
      <c r="BG13">
        <v>1289</v>
      </c>
      <c r="BH13">
        <v>1300</v>
      </c>
      <c r="BS13" t="s">
        <v>647</v>
      </c>
      <c r="BT13" t="s">
        <v>502</v>
      </c>
      <c r="BU13" t="s">
        <v>604</v>
      </c>
      <c r="BV13" t="s">
        <v>604</v>
      </c>
      <c r="BW13" t="s">
        <v>648</v>
      </c>
      <c r="BX13" t="s">
        <v>481</v>
      </c>
      <c r="BY13" t="s">
        <v>604</v>
      </c>
      <c r="BZ13" t="s">
        <v>604</v>
      </c>
      <c r="CA13" t="s">
        <v>604</v>
      </c>
      <c r="CB13" t="s">
        <v>604</v>
      </c>
      <c r="CC13" t="s">
        <v>604</v>
      </c>
      <c r="CD13" t="s">
        <v>604</v>
      </c>
      <c r="CE13" t="s">
        <v>604</v>
      </c>
      <c r="CF13" t="s">
        <v>604</v>
      </c>
      <c r="CG13" t="s">
        <v>604</v>
      </c>
      <c r="CH13" t="s">
        <v>205</v>
      </c>
      <c r="CI13" t="s">
        <v>632</v>
      </c>
      <c r="CJ13" t="s">
        <v>502</v>
      </c>
      <c r="CK13" t="s">
        <v>201</v>
      </c>
      <c r="CL13" t="s">
        <v>649</v>
      </c>
      <c r="CM13" t="s">
        <v>502</v>
      </c>
      <c r="CN13" t="s">
        <v>205</v>
      </c>
      <c r="CO13" t="s">
        <v>632</v>
      </c>
      <c r="CP13" t="s">
        <v>502</v>
      </c>
      <c r="CQ13" t="s">
        <v>281</v>
      </c>
      <c r="CR13" t="s">
        <v>266</v>
      </c>
      <c r="CS13" t="s">
        <v>608</v>
      </c>
      <c r="CT13" t="s">
        <v>177</v>
      </c>
      <c r="CU13" t="s">
        <v>631</v>
      </c>
      <c r="CV13" t="s">
        <v>608</v>
      </c>
      <c r="CW13" t="s">
        <v>210</v>
      </c>
      <c r="CX13" t="s">
        <v>631</v>
      </c>
      <c r="CY13" t="s">
        <v>608</v>
      </c>
      <c r="CZ13" t="s">
        <v>201</v>
      </c>
      <c r="DA13" t="s">
        <v>650</v>
      </c>
      <c r="DB13" t="s">
        <v>502</v>
      </c>
      <c r="DC13" t="s">
        <v>216</v>
      </c>
      <c r="DD13" t="s">
        <v>651</v>
      </c>
      <c r="DE13" t="s">
        <v>502</v>
      </c>
      <c r="DI13" t="s">
        <v>183</v>
      </c>
      <c r="DJ13" t="s">
        <v>306</v>
      </c>
      <c r="DK13" t="s">
        <v>502</v>
      </c>
      <c r="DL13" t="s">
        <v>183</v>
      </c>
      <c r="DM13" t="s">
        <v>632</v>
      </c>
      <c r="DN13" t="s">
        <v>502</v>
      </c>
      <c r="DO13" t="s">
        <v>600</v>
      </c>
      <c r="DP13" t="s">
        <v>633</v>
      </c>
      <c r="DQ13" t="s">
        <v>502</v>
      </c>
      <c r="DR13" t="s">
        <v>604</v>
      </c>
      <c r="DS13" t="s">
        <v>604</v>
      </c>
      <c r="DT13" t="s">
        <v>604</v>
      </c>
      <c r="DU13" t="s">
        <v>604</v>
      </c>
      <c r="DV13" t="s">
        <v>604</v>
      </c>
      <c r="DW13" t="s">
        <v>604</v>
      </c>
      <c r="DX13" t="s">
        <v>604</v>
      </c>
      <c r="DY13" t="s">
        <v>604</v>
      </c>
      <c r="DZ13" t="s">
        <v>604</v>
      </c>
      <c r="EA13" t="s">
        <v>604</v>
      </c>
      <c r="EB13" t="s">
        <v>604</v>
      </c>
      <c r="EC13" t="s">
        <v>604</v>
      </c>
      <c r="ED13" t="s">
        <v>174</v>
      </c>
      <c r="EE13" t="s">
        <v>637</v>
      </c>
      <c r="EF13" t="s">
        <v>608</v>
      </c>
      <c r="EG13" t="s">
        <v>604</v>
      </c>
      <c r="EH13" t="s">
        <v>604</v>
      </c>
      <c r="EI13" t="s">
        <v>604</v>
      </c>
      <c r="EJ13" t="s">
        <v>205</v>
      </c>
      <c r="EK13" t="s">
        <v>190</v>
      </c>
      <c r="EL13" t="s">
        <v>608</v>
      </c>
      <c r="EM13" t="s">
        <v>210</v>
      </c>
      <c r="EN13" t="s">
        <v>266</v>
      </c>
      <c r="EO13" t="s">
        <v>608</v>
      </c>
      <c r="EP13" t="s">
        <v>210</v>
      </c>
      <c r="EQ13" t="s">
        <v>652</v>
      </c>
      <c r="ER13" t="s">
        <v>505</v>
      </c>
      <c r="ES13" t="s">
        <v>604</v>
      </c>
      <c r="ET13" t="s">
        <v>604</v>
      </c>
      <c r="EU13" t="s">
        <v>604</v>
      </c>
      <c r="EV13" t="s">
        <v>604</v>
      </c>
      <c r="EW13" t="s">
        <v>604</v>
      </c>
      <c r="EX13" t="s">
        <v>604</v>
      </c>
      <c r="EY13">
        <v>20</v>
      </c>
      <c r="EZ13">
        <v>20</v>
      </c>
      <c r="FA13" t="s">
        <v>608</v>
      </c>
      <c r="FB13" t="s">
        <v>604</v>
      </c>
      <c r="FC13" t="s">
        <v>604</v>
      </c>
      <c r="FD13" t="s">
        <v>604</v>
      </c>
      <c r="FE13">
        <v>30</v>
      </c>
      <c r="FF13">
        <v>120</v>
      </c>
      <c r="FG13" t="s">
        <v>530</v>
      </c>
      <c r="FH13" t="s">
        <v>653</v>
      </c>
    </row>
    <row r="14" spans="1:164" x14ac:dyDescent="0.25">
      <c r="A14">
        <v>4</v>
      </c>
      <c r="B14" t="s">
        <v>164</v>
      </c>
      <c r="C14">
        <v>46</v>
      </c>
      <c r="D14">
        <v>4601</v>
      </c>
      <c r="E14">
        <v>974738627</v>
      </c>
      <c r="F14" t="s">
        <v>165</v>
      </c>
      <c r="G14" t="s">
        <v>166</v>
      </c>
      <c r="H14" t="s">
        <v>167</v>
      </c>
      <c r="I14" t="s">
        <v>654</v>
      </c>
      <c r="J14" t="e">
        <f>TRIM(#REF!)</f>
        <v>#REF!</v>
      </c>
      <c r="K14" t="e">
        <f>#REF!&amp;#REF!&amp;#REF!</f>
        <v>#REF!</v>
      </c>
      <c r="L14" t="str">
        <f>IFERROR(VLOOKUP(#REF!,工作表1!E:I,2,FALSE),"")</f>
        <v/>
      </c>
      <c r="M14" t="str">
        <f>IFERROR(VLOOKUP(#REF!,工作表1!E:I,3,FALSE),"")</f>
        <v/>
      </c>
      <c r="N14" t="str">
        <f>IFERROR(VLOOKUP(#REF!,工作表1!E:I,4,FALSE),"")</f>
        <v/>
      </c>
      <c r="O14" t="str">
        <f>IFERROR(VLOOKUP(#REF!,工作表1!E:I,5,FALSE),"")</f>
        <v/>
      </c>
      <c r="P14" t="s">
        <v>506</v>
      </c>
      <c r="Q14" t="s">
        <v>502</v>
      </c>
      <c r="R14" t="s">
        <v>529</v>
      </c>
      <c r="T14" t="s">
        <v>509</v>
      </c>
      <c r="U14" t="s">
        <v>502</v>
      </c>
      <c r="V14" t="s">
        <v>473</v>
      </c>
      <c r="X14" t="s">
        <v>503</v>
      </c>
      <c r="Y14" t="s">
        <v>502</v>
      </c>
      <c r="Z14" t="s">
        <v>512</v>
      </c>
      <c r="AB14" t="s">
        <v>430</v>
      </c>
      <c r="AC14" t="s">
        <v>481</v>
      </c>
      <c r="AD14" t="s">
        <v>489</v>
      </c>
      <c r="AF14" t="s">
        <v>175</v>
      </c>
      <c r="AG14" t="s">
        <v>655</v>
      </c>
      <c r="AH14" t="s">
        <v>529</v>
      </c>
      <c r="AJ14" t="s">
        <v>512</v>
      </c>
      <c r="AK14" t="s">
        <v>656</v>
      </c>
      <c r="AL14" t="s">
        <v>657</v>
      </c>
      <c r="AM14" t="s">
        <v>301</v>
      </c>
      <c r="AN14" t="s">
        <v>512</v>
      </c>
      <c r="AO14" t="s">
        <v>658</v>
      </c>
      <c r="AP14" t="s">
        <v>659</v>
      </c>
      <c r="AQ14" t="s">
        <v>301</v>
      </c>
      <c r="AR14" t="s">
        <v>512</v>
      </c>
      <c r="AS14" t="s">
        <v>491</v>
      </c>
      <c r="AT14" t="s">
        <v>515</v>
      </c>
      <c r="AU14" t="s">
        <v>214</v>
      </c>
      <c r="AV14" t="s">
        <v>512</v>
      </c>
      <c r="AW14" t="s">
        <v>517</v>
      </c>
      <c r="AX14" t="s">
        <v>656</v>
      </c>
      <c r="AY14" t="s">
        <v>208</v>
      </c>
      <c r="AZ14" t="s">
        <v>519</v>
      </c>
      <c r="BA14" t="s">
        <v>491</v>
      </c>
      <c r="BB14" t="s">
        <v>660</v>
      </c>
      <c r="BC14" t="s">
        <v>266</v>
      </c>
      <c r="BD14">
        <v>1662</v>
      </c>
      <c r="BE14">
        <v>1652</v>
      </c>
      <c r="BF14">
        <v>1509</v>
      </c>
      <c r="BG14">
        <v>1505</v>
      </c>
      <c r="BH14">
        <v>1527</v>
      </c>
      <c r="BY14" t="s">
        <v>216</v>
      </c>
      <c r="BZ14" t="s">
        <v>213</v>
      </c>
      <c r="CA14" t="s">
        <v>588</v>
      </c>
      <c r="CB14" t="s">
        <v>177</v>
      </c>
      <c r="CC14" t="s">
        <v>204</v>
      </c>
      <c r="CD14" t="s">
        <v>524</v>
      </c>
      <c r="CE14" t="s">
        <v>177</v>
      </c>
      <c r="CF14" t="s">
        <v>202</v>
      </c>
      <c r="CG14" t="s">
        <v>524</v>
      </c>
      <c r="CH14" t="s">
        <v>207</v>
      </c>
      <c r="CI14" t="s">
        <v>204</v>
      </c>
      <c r="CJ14" t="s">
        <v>212</v>
      </c>
      <c r="CK14" t="s">
        <v>281</v>
      </c>
      <c r="CL14" t="s">
        <v>494</v>
      </c>
      <c r="CM14" t="s">
        <v>523</v>
      </c>
      <c r="CN14" t="s">
        <v>207</v>
      </c>
      <c r="CO14" t="s">
        <v>497</v>
      </c>
      <c r="CP14" t="s">
        <v>212</v>
      </c>
      <c r="CQ14" t="s">
        <v>177</v>
      </c>
      <c r="CR14" t="s">
        <v>497</v>
      </c>
      <c r="CS14" t="s">
        <v>212</v>
      </c>
      <c r="CT14" t="s">
        <v>210</v>
      </c>
      <c r="CU14" t="s">
        <v>566</v>
      </c>
      <c r="CV14" t="s">
        <v>524</v>
      </c>
      <c r="CW14" t="s">
        <v>207</v>
      </c>
      <c r="CX14" t="s">
        <v>213</v>
      </c>
      <c r="CY14" t="s">
        <v>212</v>
      </c>
      <c r="CZ14" t="s">
        <v>174</v>
      </c>
      <c r="DA14" t="s">
        <v>208</v>
      </c>
      <c r="DB14" t="s">
        <v>212</v>
      </c>
      <c r="DC14" t="s">
        <v>215</v>
      </c>
      <c r="DD14" t="s">
        <v>204</v>
      </c>
      <c r="DE14" t="s">
        <v>212</v>
      </c>
      <c r="DF14" t="s">
        <v>177</v>
      </c>
      <c r="DG14" t="s">
        <v>486</v>
      </c>
      <c r="DH14" t="s">
        <v>524</v>
      </c>
      <c r="FH14" t="s">
        <v>661</v>
      </c>
    </row>
    <row r="15" spans="1:164" x14ac:dyDescent="0.25">
      <c r="A15">
        <v>4</v>
      </c>
      <c r="B15" t="s">
        <v>164</v>
      </c>
      <c r="C15">
        <v>46</v>
      </c>
      <c r="D15">
        <v>4601</v>
      </c>
      <c r="E15">
        <v>974737817</v>
      </c>
      <c r="F15" t="s">
        <v>165</v>
      </c>
      <c r="G15" t="s">
        <v>166</v>
      </c>
      <c r="H15" t="s">
        <v>167</v>
      </c>
      <c r="I15" t="s">
        <v>662</v>
      </c>
      <c r="J15" t="e">
        <f>TRIM(#REF!)</f>
        <v>#REF!</v>
      </c>
      <c r="K15" t="e">
        <f>#REF!&amp;#REF!&amp;#REF!</f>
        <v>#REF!</v>
      </c>
      <c r="L15" t="str">
        <f>IFERROR(VLOOKUP(#REF!,工作表1!E:I,2,FALSE),"")</f>
        <v/>
      </c>
      <c r="M15" t="str">
        <f>IFERROR(VLOOKUP(#REF!,工作表1!E:I,3,FALSE),"")</f>
        <v/>
      </c>
      <c r="N15" t="str">
        <f>IFERROR(VLOOKUP(#REF!,工作表1!E:I,4,FALSE),"")</f>
        <v/>
      </c>
      <c r="O15" t="str">
        <f>IFERROR(VLOOKUP(#REF!,工作表1!E:I,5,FALSE),"")</f>
        <v/>
      </c>
      <c r="P15" t="s">
        <v>663</v>
      </c>
      <c r="Q15" t="s">
        <v>604</v>
      </c>
      <c r="R15" t="s">
        <v>556</v>
      </c>
      <c r="T15" t="s">
        <v>664</v>
      </c>
      <c r="U15" t="s">
        <v>604</v>
      </c>
      <c r="V15" t="s">
        <v>556</v>
      </c>
      <c r="X15" t="s">
        <v>665</v>
      </c>
      <c r="Y15" t="s">
        <v>508</v>
      </c>
      <c r="Z15" t="s">
        <v>604</v>
      </c>
      <c r="AB15" t="s">
        <v>665</v>
      </c>
      <c r="AC15" t="s">
        <v>481</v>
      </c>
      <c r="AD15" t="s">
        <v>604</v>
      </c>
      <c r="AF15" t="s">
        <v>506</v>
      </c>
      <c r="AG15" t="s">
        <v>580</v>
      </c>
      <c r="AH15" t="s">
        <v>556</v>
      </c>
      <c r="AJ15" t="s">
        <v>512</v>
      </c>
      <c r="AK15" t="s">
        <v>666</v>
      </c>
      <c r="AL15" t="s">
        <v>516</v>
      </c>
      <c r="AM15" t="s">
        <v>644</v>
      </c>
      <c r="AN15" t="s">
        <v>519</v>
      </c>
      <c r="AO15" t="s">
        <v>667</v>
      </c>
      <c r="AP15" t="s">
        <v>668</v>
      </c>
      <c r="AQ15" t="s">
        <v>669</v>
      </c>
      <c r="AR15" t="s">
        <v>519</v>
      </c>
      <c r="AS15" t="s">
        <v>670</v>
      </c>
      <c r="AT15" t="s">
        <v>617</v>
      </c>
      <c r="AU15" t="s">
        <v>669</v>
      </c>
      <c r="AV15" t="s">
        <v>519</v>
      </c>
      <c r="AW15" t="s">
        <v>671</v>
      </c>
      <c r="AX15" t="s">
        <v>672</v>
      </c>
      <c r="AY15" t="s">
        <v>669</v>
      </c>
      <c r="AZ15" t="s">
        <v>512</v>
      </c>
      <c r="BA15" t="s">
        <v>616</v>
      </c>
      <c r="BB15" t="s">
        <v>673</v>
      </c>
      <c r="BC15" t="s">
        <v>669</v>
      </c>
      <c r="BD15">
        <v>1992</v>
      </c>
      <c r="BE15">
        <v>1870</v>
      </c>
      <c r="BF15">
        <v>1968</v>
      </c>
      <c r="BG15">
        <v>1998</v>
      </c>
      <c r="BH15">
        <v>1946</v>
      </c>
      <c r="BI15" t="s">
        <v>349</v>
      </c>
      <c r="BJ15" t="s">
        <v>350</v>
      </c>
      <c r="BK15" t="s">
        <v>351</v>
      </c>
      <c r="BL15" t="s">
        <v>580</v>
      </c>
      <c r="BM15" t="s">
        <v>351</v>
      </c>
      <c r="BN15" t="s">
        <v>581</v>
      </c>
      <c r="BO15" t="s">
        <v>351</v>
      </c>
      <c r="BP15" t="s">
        <v>581</v>
      </c>
      <c r="BQ15" t="s">
        <v>550</v>
      </c>
      <c r="BR15" t="s">
        <v>505</v>
      </c>
      <c r="BS15" t="s">
        <v>538</v>
      </c>
      <c r="BT15" t="s">
        <v>674</v>
      </c>
      <c r="BU15" t="s">
        <v>675</v>
      </c>
      <c r="BV15" t="s">
        <v>676</v>
      </c>
      <c r="BW15" t="s">
        <v>677</v>
      </c>
      <c r="BX15" t="s">
        <v>678</v>
      </c>
      <c r="DK15" t="s">
        <v>556</v>
      </c>
      <c r="DN15" t="s">
        <v>556</v>
      </c>
      <c r="DO15" t="s">
        <v>177</v>
      </c>
      <c r="DP15" t="s">
        <v>644</v>
      </c>
      <c r="DQ15" t="s">
        <v>679</v>
      </c>
      <c r="DR15" t="s">
        <v>210</v>
      </c>
      <c r="DS15" t="s">
        <v>558</v>
      </c>
      <c r="DT15" t="s">
        <v>680</v>
      </c>
      <c r="DU15" t="s">
        <v>210</v>
      </c>
      <c r="DV15" t="s">
        <v>669</v>
      </c>
      <c r="DW15" t="s">
        <v>681</v>
      </c>
      <c r="DX15" t="s">
        <v>216</v>
      </c>
      <c r="DY15" t="s">
        <v>558</v>
      </c>
      <c r="DZ15" t="s">
        <v>681</v>
      </c>
      <c r="EA15" t="s">
        <v>281</v>
      </c>
      <c r="EB15" t="s">
        <v>566</v>
      </c>
      <c r="EC15" t="s">
        <v>682</v>
      </c>
      <c r="ED15" t="s">
        <v>177</v>
      </c>
      <c r="EE15" t="s">
        <v>558</v>
      </c>
      <c r="EF15" t="s">
        <v>683</v>
      </c>
      <c r="EG15" t="s">
        <v>216</v>
      </c>
      <c r="EH15" t="s">
        <v>301</v>
      </c>
      <c r="EI15" t="s">
        <v>684</v>
      </c>
      <c r="EJ15" t="s">
        <v>174</v>
      </c>
      <c r="EK15" t="s">
        <v>558</v>
      </c>
      <c r="EL15" t="s">
        <v>639</v>
      </c>
      <c r="EM15" t="s">
        <v>177</v>
      </c>
      <c r="EN15" t="s">
        <v>558</v>
      </c>
      <c r="EO15" t="s">
        <v>685</v>
      </c>
      <c r="EP15" t="s">
        <v>177</v>
      </c>
      <c r="EQ15" t="s">
        <v>566</v>
      </c>
      <c r="ER15" t="s">
        <v>686</v>
      </c>
      <c r="ES15" t="s">
        <v>562</v>
      </c>
      <c r="ET15" t="s">
        <v>306</v>
      </c>
      <c r="EU15" t="s">
        <v>687</v>
      </c>
      <c r="EV15" t="s">
        <v>211</v>
      </c>
      <c r="EW15" t="s">
        <v>306</v>
      </c>
      <c r="EX15" t="s">
        <v>402</v>
      </c>
      <c r="EY15">
        <v>110</v>
      </c>
      <c r="EZ15">
        <v>70</v>
      </c>
      <c r="FA15" t="s">
        <v>688</v>
      </c>
      <c r="FB15" t="s">
        <v>468</v>
      </c>
      <c r="FC15" t="s">
        <v>306</v>
      </c>
      <c r="FD15" t="s">
        <v>689</v>
      </c>
      <c r="FE15">
        <v>140</v>
      </c>
      <c r="FF15">
        <v>85</v>
      </c>
      <c r="FG15" t="s">
        <v>676</v>
      </c>
      <c r="FH15" t="s">
        <v>690</v>
      </c>
    </row>
    <row r="16" spans="1:164" x14ac:dyDescent="0.25">
      <c r="A16">
        <v>4</v>
      </c>
      <c r="B16" t="s">
        <v>164</v>
      </c>
      <c r="C16">
        <v>46</v>
      </c>
      <c r="D16">
        <v>4601</v>
      </c>
      <c r="E16">
        <v>974737817</v>
      </c>
      <c r="F16" t="s">
        <v>165</v>
      </c>
      <c r="G16" t="s">
        <v>166</v>
      </c>
      <c r="H16" t="s">
        <v>167</v>
      </c>
      <c r="I16" t="s">
        <v>662</v>
      </c>
      <c r="J16" t="e">
        <f>TRIM(#REF!)</f>
        <v>#REF!</v>
      </c>
      <c r="K16" t="e">
        <f>#REF!&amp;#REF!&amp;#REF!</f>
        <v>#REF!</v>
      </c>
      <c r="L16" t="str">
        <f>IFERROR(VLOOKUP(#REF!,工作表1!E:I,2,FALSE),"")</f>
        <v/>
      </c>
      <c r="M16" t="str">
        <f>IFERROR(VLOOKUP(#REF!,工作表1!E:I,3,FALSE),"")</f>
        <v/>
      </c>
      <c r="N16" t="str">
        <f>IFERROR(VLOOKUP(#REF!,工作表1!E:I,4,FALSE),"")</f>
        <v/>
      </c>
      <c r="O16" t="str">
        <f>IFERROR(VLOOKUP(#REF!,工作表1!E:I,5,FALSE),"")</f>
        <v/>
      </c>
      <c r="P16" t="s">
        <v>663</v>
      </c>
      <c r="Q16" t="s">
        <v>604</v>
      </c>
      <c r="R16" t="s">
        <v>556</v>
      </c>
      <c r="T16" t="s">
        <v>664</v>
      </c>
      <c r="U16" t="s">
        <v>604</v>
      </c>
      <c r="V16" t="s">
        <v>556</v>
      </c>
      <c r="X16" t="s">
        <v>665</v>
      </c>
      <c r="Y16" t="s">
        <v>508</v>
      </c>
      <c r="Z16" t="s">
        <v>604</v>
      </c>
      <c r="AB16" t="s">
        <v>665</v>
      </c>
      <c r="AC16" t="s">
        <v>481</v>
      </c>
      <c r="AD16" t="s">
        <v>604</v>
      </c>
      <c r="AF16" t="s">
        <v>506</v>
      </c>
      <c r="AG16" t="s">
        <v>580</v>
      </c>
      <c r="AH16" t="s">
        <v>556</v>
      </c>
      <c r="AJ16" t="s">
        <v>512</v>
      </c>
      <c r="AK16" t="s">
        <v>666</v>
      </c>
      <c r="AL16" t="s">
        <v>516</v>
      </c>
      <c r="AM16" t="s">
        <v>644</v>
      </c>
      <c r="AN16" t="s">
        <v>519</v>
      </c>
      <c r="AO16" t="s">
        <v>667</v>
      </c>
      <c r="AP16" t="s">
        <v>668</v>
      </c>
      <c r="AQ16" t="s">
        <v>669</v>
      </c>
      <c r="AR16" t="s">
        <v>519</v>
      </c>
      <c r="AS16" t="s">
        <v>670</v>
      </c>
      <c r="AT16" t="s">
        <v>617</v>
      </c>
      <c r="AU16" t="s">
        <v>669</v>
      </c>
      <c r="AV16" t="s">
        <v>519</v>
      </c>
      <c r="AW16" t="s">
        <v>671</v>
      </c>
      <c r="AX16" t="s">
        <v>672</v>
      </c>
      <c r="AY16" t="s">
        <v>669</v>
      </c>
      <c r="AZ16" t="s">
        <v>512</v>
      </c>
      <c r="BA16" t="s">
        <v>616</v>
      </c>
      <c r="BB16" t="s">
        <v>673</v>
      </c>
      <c r="BC16" t="s">
        <v>669</v>
      </c>
      <c r="BD16">
        <v>1992</v>
      </c>
      <c r="BE16">
        <v>1870</v>
      </c>
      <c r="BF16">
        <v>1968</v>
      </c>
      <c r="BG16">
        <v>1998</v>
      </c>
      <c r="BH16">
        <v>1946</v>
      </c>
      <c r="BI16" t="s">
        <v>261</v>
      </c>
      <c r="BJ16" t="s">
        <v>262</v>
      </c>
      <c r="BK16" t="s">
        <v>550</v>
      </c>
      <c r="BL16" t="s">
        <v>691</v>
      </c>
      <c r="BM16" t="s">
        <v>190</v>
      </c>
      <c r="BN16" t="s">
        <v>674</v>
      </c>
      <c r="BO16" t="s">
        <v>266</v>
      </c>
      <c r="BP16" t="s">
        <v>676</v>
      </c>
      <c r="BQ16" t="s">
        <v>266</v>
      </c>
      <c r="BR16" t="s">
        <v>692</v>
      </c>
      <c r="BS16" t="s">
        <v>538</v>
      </c>
      <c r="BT16" t="s">
        <v>674</v>
      </c>
      <c r="BU16" t="s">
        <v>675</v>
      </c>
      <c r="BV16" t="s">
        <v>676</v>
      </c>
      <c r="BW16" t="s">
        <v>677</v>
      </c>
      <c r="BX16" t="s">
        <v>678</v>
      </c>
      <c r="DK16" t="s">
        <v>556</v>
      </c>
      <c r="DN16" t="s">
        <v>556</v>
      </c>
      <c r="DO16" t="s">
        <v>177</v>
      </c>
      <c r="DP16" t="s">
        <v>644</v>
      </c>
      <c r="DQ16" t="s">
        <v>679</v>
      </c>
      <c r="DR16" t="s">
        <v>210</v>
      </c>
      <c r="DS16" t="s">
        <v>558</v>
      </c>
      <c r="DT16" t="s">
        <v>680</v>
      </c>
      <c r="DU16" t="s">
        <v>210</v>
      </c>
      <c r="DV16" t="s">
        <v>669</v>
      </c>
      <c r="DW16" t="s">
        <v>681</v>
      </c>
      <c r="DX16" t="s">
        <v>216</v>
      </c>
      <c r="DY16" t="s">
        <v>558</v>
      </c>
      <c r="DZ16" t="s">
        <v>681</v>
      </c>
      <c r="EA16" t="s">
        <v>281</v>
      </c>
      <c r="EB16" t="s">
        <v>566</v>
      </c>
      <c r="EC16" t="s">
        <v>682</v>
      </c>
      <c r="ED16" t="s">
        <v>177</v>
      </c>
      <c r="EE16" t="s">
        <v>558</v>
      </c>
      <c r="EF16" t="s">
        <v>683</v>
      </c>
      <c r="EG16" t="s">
        <v>216</v>
      </c>
      <c r="EH16" t="s">
        <v>301</v>
      </c>
      <c r="EI16" t="s">
        <v>684</v>
      </c>
      <c r="EJ16" t="s">
        <v>174</v>
      </c>
      <c r="EK16" t="s">
        <v>558</v>
      </c>
      <c r="EL16" t="s">
        <v>639</v>
      </c>
      <c r="EM16" t="s">
        <v>177</v>
      </c>
      <c r="EN16" t="s">
        <v>558</v>
      </c>
      <c r="EO16" t="s">
        <v>685</v>
      </c>
      <c r="EP16" t="s">
        <v>177</v>
      </c>
      <c r="EQ16" t="s">
        <v>566</v>
      </c>
      <c r="ER16" t="s">
        <v>686</v>
      </c>
      <c r="ES16" t="s">
        <v>562</v>
      </c>
      <c r="ET16" t="s">
        <v>306</v>
      </c>
      <c r="EU16" t="s">
        <v>687</v>
      </c>
      <c r="EV16" t="s">
        <v>211</v>
      </c>
      <c r="EW16" t="s">
        <v>306</v>
      </c>
      <c r="EX16" t="s">
        <v>402</v>
      </c>
      <c r="EY16">
        <v>110</v>
      </c>
      <c r="EZ16">
        <v>70</v>
      </c>
      <c r="FA16" t="s">
        <v>688</v>
      </c>
      <c r="FB16" t="s">
        <v>468</v>
      </c>
      <c r="FC16" t="s">
        <v>306</v>
      </c>
      <c r="FD16" t="s">
        <v>689</v>
      </c>
      <c r="FE16">
        <v>140</v>
      </c>
      <c r="FF16">
        <v>85</v>
      </c>
      <c r="FG16" t="s">
        <v>676</v>
      </c>
      <c r="FH16" t="s">
        <v>690</v>
      </c>
    </row>
    <row r="17" spans="1:164" x14ac:dyDescent="0.25">
      <c r="A17">
        <v>4</v>
      </c>
      <c r="B17" t="s">
        <v>164</v>
      </c>
      <c r="C17">
        <v>46</v>
      </c>
      <c r="D17">
        <v>4601</v>
      </c>
      <c r="E17">
        <v>974738287</v>
      </c>
      <c r="F17" t="s">
        <v>165</v>
      </c>
      <c r="G17" t="s">
        <v>166</v>
      </c>
      <c r="H17" t="s">
        <v>167</v>
      </c>
      <c r="I17" t="s">
        <v>693</v>
      </c>
      <c r="J17" t="e">
        <f>TRIM(#REF!)</f>
        <v>#REF!</v>
      </c>
      <c r="K17" t="e">
        <f>#REF!&amp;#REF!&amp;#REF!</f>
        <v>#REF!</v>
      </c>
      <c r="L17" t="str">
        <f>IFERROR(VLOOKUP(#REF!,工作表1!E:I,2,FALSE),"")</f>
        <v/>
      </c>
      <c r="M17" t="str">
        <f>IFERROR(VLOOKUP(#REF!,工作表1!E:I,3,FALSE),"")</f>
        <v/>
      </c>
      <c r="N17" t="str">
        <f>IFERROR(VLOOKUP(#REF!,工作表1!E:I,4,FALSE),"")</f>
        <v/>
      </c>
      <c r="O17" t="str">
        <f>IFERROR(VLOOKUP(#REF!,工作表1!E:I,5,FALSE),"")</f>
        <v/>
      </c>
      <c r="P17" t="s">
        <v>694</v>
      </c>
      <c r="Q17" t="s">
        <v>508</v>
      </c>
      <c r="R17" t="s">
        <v>481</v>
      </c>
      <c r="T17" t="s">
        <v>695</v>
      </c>
      <c r="U17" t="s">
        <v>604</v>
      </c>
      <c r="V17" t="s">
        <v>530</v>
      </c>
      <c r="X17" t="s">
        <v>324</v>
      </c>
      <c r="Y17" t="s">
        <v>608</v>
      </c>
      <c r="Z17" t="s">
        <v>504</v>
      </c>
      <c r="AB17" t="s">
        <v>696</v>
      </c>
      <c r="AC17" t="s">
        <v>505</v>
      </c>
      <c r="AD17" t="s">
        <v>504</v>
      </c>
      <c r="AF17" t="s">
        <v>697</v>
      </c>
      <c r="AG17" t="s">
        <v>504</v>
      </c>
      <c r="AH17" t="s">
        <v>505</v>
      </c>
      <c r="AJ17" t="s">
        <v>512</v>
      </c>
      <c r="AK17" t="s">
        <v>698</v>
      </c>
      <c r="AL17" t="s">
        <v>699</v>
      </c>
      <c r="AM17" t="s">
        <v>213</v>
      </c>
      <c r="AN17" t="s">
        <v>182</v>
      </c>
      <c r="AO17" t="s">
        <v>700</v>
      </c>
      <c r="AP17" t="s">
        <v>515</v>
      </c>
      <c r="AQ17" t="s">
        <v>494</v>
      </c>
      <c r="AR17" t="s">
        <v>179</v>
      </c>
      <c r="AS17" t="s">
        <v>701</v>
      </c>
      <c r="AT17" t="s">
        <v>702</v>
      </c>
      <c r="AU17" t="s">
        <v>560</v>
      </c>
      <c r="AV17" t="s">
        <v>489</v>
      </c>
      <c r="AW17" t="s">
        <v>196</v>
      </c>
      <c r="AX17" t="s">
        <v>189</v>
      </c>
      <c r="AY17" t="s">
        <v>204</v>
      </c>
      <c r="AZ17" t="s">
        <v>179</v>
      </c>
      <c r="BA17" t="s">
        <v>703</v>
      </c>
      <c r="BB17" t="s">
        <v>485</v>
      </c>
      <c r="BC17" t="s">
        <v>494</v>
      </c>
      <c r="BD17">
        <v>1664</v>
      </c>
      <c r="BE17">
        <v>1676</v>
      </c>
      <c r="BF17">
        <v>1631</v>
      </c>
      <c r="BG17">
        <v>1595</v>
      </c>
      <c r="BH17">
        <v>1635</v>
      </c>
      <c r="BY17" t="s">
        <v>174</v>
      </c>
      <c r="BZ17" t="s">
        <v>214</v>
      </c>
      <c r="CA17" t="s">
        <v>281</v>
      </c>
      <c r="CB17" t="s">
        <v>496</v>
      </c>
      <c r="CC17" t="s">
        <v>213</v>
      </c>
      <c r="CD17" t="s">
        <v>281</v>
      </c>
      <c r="CE17" t="s">
        <v>183</v>
      </c>
      <c r="CF17" t="s">
        <v>494</v>
      </c>
      <c r="CG17" t="s">
        <v>174</v>
      </c>
      <c r="CH17" t="s">
        <v>496</v>
      </c>
      <c r="CI17" t="s">
        <v>213</v>
      </c>
      <c r="CJ17" t="s">
        <v>281</v>
      </c>
      <c r="CK17" t="s">
        <v>496</v>
      </c>
      <c r="CL17" t="s">
        <v>497</v>
      </c>
      <c r="CM17" t="s">
        <v>281</v>
      </c>
      <c r="CN17" t="s">
        <v>496</v>
      </c>
      <c r="CO17" t="s">
        <v>213</v>
      </c>
      <c r="CP17" t="s">
        <v>281</v>
      </c>
      <c r="CQ17" t="s">
        <v>281</v>
      </c>
      <c r="CR17" t="s">
        <v>214</v>
      </c>
      <c r="CS17" t="s">
        <v>281</v>
      </c>
      <c r="CT17" t="s">
        <v>201</v>
      </c>
      <c r="CU17" t="s">
        <v>497</v>
      </c>
      <c r="CV17" t="s">
        <v>281</v>
      </c>
      <c r="CW17" t="s">
        <v>281</v>
      </c>
      <c r="CX17" t="s">
        <v>497</v>
      </c>
      <c r="CY17" t="s">
        <v>207</v>
      </c>
      <c r="CZ17" t="s">
        <v>216</v>
      </c>
      <c r="DA17" t="s">
        <v>204</v>
      </c>
      <c r="DB17" t="s">
        <v>601</v>
      </c>
      <c r="DC17" t="s">
        <v>281</v>
      </c>
      <c r="DD17" t="s">
        <v>495</v>
      </c>
      <c r="DE17" t="s">
        <v>601</v>
      </c>
      <c r="DF17" t="s">
        <v>205</v>
      </c>
      <c r="DG17" t="s">
        <v>644</v>
      </c>
      <c r="DH17" t="s">
        <v>582</v>
      </c>
      <c r="FH17" t="s">
        <v>704</v>
      </c>
    </row>
    <row r="18" spans="1:164" x14ac:dyDescent="0.25">
      <c r="A18">
        <v>4</v>
      </c>
      <c r="B18" t="s">
        <v>164</v>
      </c>
      <c r="C18">
        <v>46</v>
      </c>
      <c r="D18">
        <v>4601</v>
      </c>
      <c r="E18">
        <v>980155307</v>
      </c>
      <c r="F18" t="s">
        <v>165</v>
      </c>
      <c r="G18" t="s">
        <v>166</v>
      </c>
      <c r="H18" t="s">
        <v>167</v>
      </c>
      <c r="I18" t="s">
        <v>705</v>
      </c>
      <c r="J18" t="e">
        <f>TRIM(#REF!)</f>
        <v>#REF!</v>
      </c>
      <c r="K18" t="e">
        <f>#REF!&amp;#REF!&amp;#REF!</f>
        <v>#REF!</v>
      </c>
      <c r="L18" t="str">
        <f>IFERROR(VLOOKUP(#REF!,工作表1!E:I,2,FALSE),"")</f>
        <v/>
      </c>
      <c r="M18" t="str">
        <f>IFERROR(VLOOKUP(#REF!,工作表1!E:I,3,FALSE),"")</f>
        <v/>
      </c>
      <c r="N18" t="str">
        <f>IFERROR(VLOOKUP(#REF!,工作表1!E:I,4,FALSE),"")</f>
        <v/>
      </c>
      <c r="O18" t="str">
        <f>IFERROR(VLOOKUP(#REF!,工作表1!E:I,5,FALSE),"")</f>
        <v/>
      </c>
      <c r="P18" t="s">
        <v>706</v>
      </c>
      <c r="Q18" t="s">
        <v>533</v>
      </c>
      <c r="R18" t="s">
        <v>508</v>
      </c>
      <c r="T18" t="s">
        <v>707</v>
      </c>
      <c r="U18" t="s">
        <v>533</v>
      </c>
      <c r="V18" t="s">
        <v>604</v>
      </c>
      <c r="X18" t="s">
        <v>708</v>
      </c>
      <c r="Y18" t="s">
        <v>179</v>
      </c>
      <c r="Z18" t="s">
        <v>604</v>
      </c>
      <c r="AB18" t="s">
        <v>709</v>
      </c>
      <c r="AC18" t="s">
        <v>519</v>
      </c>
      <c r="AD18" t="s">
        <v>604</v>
      </c>
      <c r="AF18" t="s">
        <v>710</v>
      </c>
      <c r="AG18" t="s">
        <v>173</v>
      </c>
      <c r="AH18" t="s">
        <v>604</v>
      </c>
      <c r="AJ18" t="s">
        <v>529</v>
      </c>
      <c r="AK18" t="s">
        <v>516</v>
      </c>
      <c r="AL18" t="s">
        <v>711</v>
      </c>
      <c r="AM18" t="s">
        <v>712</v>
      </c>
      <c r="AN18" t="s">
        <v>474</v>
      </c>
      <c r="AO18" t="s">
        <v>713</v>
      </c>
      <c r="AP18" t="s">
        <v>714</v>
      </c>
      <c r="AQ18" t="s">
        <v>712</v>
      </c>
      <c r="AR18" t="s">
        <v>529</v>
      </c>
      <c r="AS18" t="s">
        <v>715</v>
      </c>
      <c r="AT18" t="s">
        <v>716</v>
      </c>
      <c r="AU18" t="s">
        <v>712</v>
      </c>
      <c r="AV18" t="s">
        <v>173</v>
      </c>
      <c r="AW18" t="s">
        <v>717</v>
      </c>
      <c r="AX18" t="s">
        <v>718</v>
      </c>
      <c r="AY18" t="s">
        <v>560</v>
      </c>
      <c r="AZ18" t="s">
        <v>473</v>
      </c>
      <c r="BA18" t="s">
        <v>719</v>
      </c>
      <c r="BB18" t="s">
        <v>720</v>
      </c>
      <c r="BC18" t="s">
        <v>560</v>
      </c>
      <c r="BD18">
        <v>1917</v>
      </c>
      <c r="BE18">
        <v>1996</v>
      </c>
      <c r="BF18">
        <v>1995</v>
      </c>
      <c r="BG18">
        <v>1985</v>
      </c>
      <c r="BH18">
        <v>2022</v>
      </c>
      <c r="BI18" t="s">
        <v>349</v>
      </c>
      <c r="BJ18" t="s">
        <v>350</v>
      </c>
      <c r="BK18" t="s">
        <v>721</v>
      </c>
      <c r="BL18" t="s">
        <v>530</v>
      </c>
      <c r="BM18" t="s">
        <v>198</v>
      </c>
      <c r="BN18" t="s">
        <v>504</v>
      </c>
      <c r="BO18" t="s">
        <v>550</v>
      </c>
      <c r="BP18" t="s">
        <v>580</v>
      </c>
      <c r="BQ18" t="s">
        <v>598</v>
      </c>
      <c r="BR18" t="s">
        <v>530</v>
      </c>
      <c r="BS18" t="s">
        <v>553</v>
      </c>
      <c r="BT18" t="s">
        <v>722</v>
      </c>
      <c r="BU18" t="s">
        <v>723</v>
      </c>
      <c r="BV18" t="s">
        <v>724</v>
      </c>
      <c r="BW18" t="s">
        <v>725</v>
      </c>
      <c r="BX18" t="s">
        <v>726</v>
      </c>
      <c r="DI18" t="s">
        <v>207</v>
      </c>
      <c r="DJ18" t="s">
        <v>204</v>
      </c>
      <c r="DK18" t="s">
        <v>525</v>
      </c>
      <c r="DN18" t="s">
        <v>556</v>
      </c>
      <c r="DQ18" t="s">
        <v>556</v>
      </c>
      <c r="DR18" t="s">
        <v>217</v>
      </c>
      <c r="DS18" t="s">
        <v>644</v>
      </c>
      <c r="DT18" t="s">
        <v>215</v>
      </c>
      <c r="DU18" t="s">
        <v>217</v>
      </c>
      <c r="DV18" t="s">
        <v>495</v>
      </c>
      <c r="DW18" t="s">
        <v>210</v>
      </c>
      <c r="DX18" t="s">
        <v>215</v>
      </c>
      <c r="DY18" t="s">
        <v>557</v>
      </c>
      <c r="DZ18" t="s">
        <v>215</v>
      </c>
      <c r="EA18" t="s">
        <v>207</v>
      </c>
      <c r="EB18" t="s">
        <v>644</v>
      </c>
      <c r="EC18" t="s">
        <v>727</v>
      </c>
      <c r="ED18" t="s">
        <v>216</v>
      </c>
      <c r="EE18" t="s">
        <v>213</v>
      </c>
      <c r="EF18" t="s">
        <v>728</v>
      </c>
      <c r="EG18" t="s">
        <v>209</v>
      </c>
      <c r="EH18" t="s">
        <v>644</v>
      </c>
      <c r="EI18" t="s">
        <v>729</v>
      </c>
      <c r="EJ18" t="s">
        <v>207</v>
      </c>
      <c r="EK18" t="s">
        <v>644</v>
      </c>
      <c r="EL18" t="s">
        <v>722</v>
      </c>
      <c r="EM18" t="s">
        <v>210</v>
      </c>
      <c r="EN18" t="s">
        <v>669</v>
      </c>
      <c r="EO18" t="s">
        <v>722</v>
      </c>
      <c r="EP18" t="s">
        <v>216</v>
      </c>
      <c r="EQ18" t="s">
        <v>495</v>
      </c>
      <c r="ER18" t="s">
        <v>730</v>
      </c>
      <c r="ES18" t="s">
        <v>731</v>
      </c>
      <c r="ET18" t="s">
        <v>211</v>
      </c>
      <c r="EU18" t="s">
        <v>732</v>
      </c>
      <c r="EV18" t="s">
        <v>301</v>
      </c>
      <c r="EW18" t="s">
        <v>389</v>
      </c>
      <c r="EX18" t="s">
        <v>678</v>
      </c>
      <c r="EY18">
        <v>90</v>
      </c>
      <c r="EZ18">
        <v>80</v>
      </c>
      <c r="FA18" t="s">
        <v>732</v>
      </c>
      <c r="FB18" t="s">
        <v>605</v>
      </c>
      <c r="FC18" t="s">
        <v>305</v>
      </c>
      <c r="FD18" t="s">
        <v>679</v>
      </c>
      <c r="FE18">
        <v>130</v>
      </c>
      <c r="FF18">
        <v>160</v>
      </c>
      <c r="FG18" t="s">
        <v>729</v>
      </c>
      <c r="FH18" t="s">
        <v>733</v>
      </c>
    </row>
    <row r="19" spans="1:164" x14ac:dyDescent="0.25">
      <c r="A19">
        <v>4</v>
      </c>
      <c r="B19" t="s">
        <v>164</v>
      </c>
      <c r="C19">
        <v>46</v>
      </c>
      <c r="D19">
        <v>4601</v>
      </c>
      <c r="E19">
        <v>980155307</v>
      </c>
      <c r="F19" t="s">
        <v>165</v>
      </c>
      <c r="G19" t="s">
        <v>166</v>
      </c>
      <c r="H19" t="s">
        <v>167</v>
      </c>
      <c r="I19" t="s">
        <v>705</v>
      </c>
      <c r="J19" t="e">
        <f>TRIM(#REF!)</f>
        <v>#REF!</v>
      </c>
      <c r="K19" t="e">
        <f>#REF!&amp;#REF!&amp;#REF!</f>
        <v>#REF!</v>
      </c>
      <c r="L19" t="str">
        <f>IFERROR(VLOOKUP(#REF!,工作表1!E:I,2,FALSE),"")</f>
        <v/>
      </c>
      <c r="M19" t="str">
        <f>IFERROR(VLOOKUP(#REF!,工作表1!E:I,3,FALSE),"")</f>
        <v/>
      </c>
      <c r="N19" t="str">
        <f>IFERROR(VLOOKUP(#REF!,工作表1!E:I,4,FALSE),"")</f>
        <v/>
      </c>
      <c r="O19" t="str">
        <f>IFERROR(VLOOKUP(#REF!,工作表1!E:I,5,FALSE),"")</f>
        <v/>
      </c>
      <c r="P19" t="s">
        <v>706</v>
      </c>
      <c r="Q19" t="s">
        <v>533</v>
      </c>
      <c r="R19" t="s">
        <v>508</v>
      </c>
      <c r="T19" t="s">
        <v>707</v>
      </c>
      <c r="U19" t="s">
        <v>533</v>
      </c>
      <c r="V19" t="s">
        <v>604</v>
      </c>
      <c r="X19" t="s">
        <v>708</v>
      </c>
      <c r="Y19" t="s">
        <v>179</v>
      </c>
      <c r="Z19" t="s">
        <v>604</v>
      </c>
      <c r="AB19" t="s">
        <v>709</v>
      </c>
      <c r="AC19" t="s">
        <v>519</v>
      </c>
      <c r="AD19" t="s">
        <v>604</v>
      </c>
      <c r="AF19" t="s">
        <v>710</v>
      </c>
      <c r="AG19" t="s">
        <v>173</v>
      </c>
      <c r="AH19" t="s">
        <v>604</v>
      </c>
      <c r="AJ19" t="s">
        <v>529</v>
      </c>
      <c r="AK19" t="s">
        <v>516</v>
      </c>
      <c r="AL19" t="s">
        <v>711</v>
      </c>
      <c r="AM19" t="s">
        <v>712</v>
      </c>
      <c r="AN19" t="s">
        <v>474</v>
      </c>
      <c r="AO19" t="s">
        <v>713</v>
      </c>
      <c r="AP19" t="s">
        <v>714</v>
      </c>
      <c r="AQ19" t="s">
        <v>712</v>
      </c>
      <c r="AR19" t="s">
        <v>529</v>
      </c>
      <c r="AS19" t="s">
        <v>715</v>
      </c>
      <c r="AT19" t="s">
        <v>716</v>
      </c>
      <c r="AU19" t="s">
        <v>712</v>
      </c>
      <c r="AV19" t="s">
        <v>173</v>
      </c>
      <c r="AW19" t="s">
        <v>717</v>
      </c>
      <c r="AX19" t="s">
        <v>718</v>
      </c>
      <c r="AY19" t="s">
        <v>560</v>
      </c>
      <c r="AZ19" t="s">
        <v>473</v>
      </c>
      <c r="BA19" t="s">
        <v>719</v>
      </c>
      <c r="BB19" t="s">
        <v>720</v>
      </c>
      <c r="BC19" t="s">
        <v>560</v>
      </c>
      <c r="BD19">
        <v>1917</v>
      </c>
      <c r="BE19">
        <v>1996</v>
      </c>
      <c r="BF19">
        <v>1995</v>
      </c>
      <c r="BG19">
        <v>1985</v>
      </c>
      <c r="BH19">
        <v>2022</v>
      </c>
      <c r="BI19" t="s">
        <v>261</v>
      </c>
      <c r="BJ19" t="s">
        <v>262</v>
      </c>
      <c r="BK19" t="s">
        <v>266</v>
      </c>
      <c r="BL19" t="s">
        <v>734</v>
      </c>
      <c r="BM19" t="s">
        <v>633</v>
      </c>
      <c r="BN19" t="s">
        <v>730</v>
      </c>
      <c r="BO19" t="s">
        <v>263</v>
      </c>
      <c r="BP19" t="s">
        <v>728</v>
      </c>
      <c r="BQ19" t="s">
        <v>198</v>
      </c>
      <c r="BR19" t="s">
        <v>582</v>
      </c>
      <c r="BS19" t="s">
        <v>553</v>
      </c>
      <c r="BT19" t="s">
        <v>722</v>
      </c>
      <c r="BU19" t="s">
        <v>723</v>
      </c>
      <c r="BV19" t="s">
        <v>724</v>
      </c>
      <c r="BW19" t="s">
        <v>725</v>
      </c>
      <c r="BX19" t="s">
        <v>726</v>
      </c>
      <c r="DI19" t="s">
        <v>207</v>
      </c>
      <c r="DJ19" t="s">
        <v>204</v>
      </c>
      <c r="DK19" t="s">
        <v>525</v>
      </c>
      <c r="DN19" t="s">
        <v>556</v>
      </c>
      <c r="DQ19" t="s">
        <v>556</v>
      </c>
      <c r="DR19" t="s">
        <v>217</v>
      </c>
      <c r="DS19" t="s">
        <v>644</v>
      </c>
      <c r="DT19" t="s">
        <v>215</v>
      </c>
      <c r="DU19" t="s">
        <v>217</v>
      </c>
      <c r="DV19" t="s">
        <v>495</v>
      </c>
      <c r="DW19" t="s">
        <v>210</v>
      </c>
      <c r="DX19" t="s">
        <v>215</v>
      </c>
      <c r="DY19" t="s">
        <v>557</v>
      </c>
      <c r="DZ19" t="s">
        <v>215</v>
      </c>
      <c r="EA19" t="s">
        <v>207</v>
      </c>
      <c r="EB19" t="s">
        <v>644</v>
      </c>
      <c r="EC19" t="s">
        <v>727</v>
      </c>
      <c r="ED19" t="s">
        <v>216</v>
      </c>
      <c r="EE19" t="s">
        <v>213</v>
      </c>
      <c r="EF19" t="s">
        <v>728</v>
      </c>
      <c r="EG19" t="s">
        <v>209</v>
      </c>
      <c r="EH19" t="s">
        <v>644</v>
      </c>
      <c r="EI19" t="s">
        <v>729</v>
      </c>
      <c r="EJ19" t="s">
        <v>207</v>
      </c>
      <c r="EK19" t="s">
        <v>644</v>
      </c>
      <c r="EL19" t="s">
        <v>722</v>
      </c>
      <c r="EM19" t="s">
        <v>210</v>
      </c>
      <c r="EN19" t="s">
        <v>669</v>
      </c>
      <c r="EO19" t="s">
        <v>722</v>
      </c>
      <c r="EP19" t="s">
        <v>216</v>
      </c>
      <c r="EQ19" t="s">
        <v>495</v>
      </c>
      <c r="ER19" t="s">
        <v>730</v>
      </c>
      <c r="ES19" t="s">
        <v>731</v>
      </c>
      <c r="ET19" t="s">
        <v>211</v>
      </c>
      <c r="EU19" t="s">
        <v>732</v>
      </c>
      <c r="EV19" t="s">
        <v>301</v>
      </c>
      <c r="EW19" t="s">
        <v>389</v>
      </c>
      <c r="EX19" t="s">
        <v>678</v>
      </c>
      <c r="EY19">
        <v>90</v>
      </c>
      <c r="EZ19">
        <v>80</v>
      </c>
      <c r="FA19" t="s">
        <v>732</v>
      </c>
      <c r="FB19" t="s">
        <v>605</v>
      </c>
      <c r="FC19" t="s">
        <v>305</v>
      </c>
      <c r="FD19" t="s">
        <v>679</v>
      </c>
      <c r="FE19">
        <v>130</v>
      </c>
      <c r="FF19">
        <v>160</v>
      </c>
      <c r="FG19" t="s">
        <v>729</v>
      </c>
      <c r="FH19" t="s">
        <v>733</v>
      </c>
    </row>
    <row r="20" spans="1:164" x14ac:dyDescent="0.25">
      <c r="A20">
        <v>4</v>
      </c>
      <c r="B20" t="s">
        <v>164</v>
      </c>
      <c r="C20">
        <v>46</v>
      </c>
      <c r="D20">
        <v>4601</v>
      </c>
      <c r="E20">
        <v>974737957</v>
      </c>
      <c r="F20" t="s">
        <v>165</v>
      </c>
      <c r="G20" t="s">
        <v>166</v>
      </c>
      <c r="H20" t="s">
        <v>167</v>
      </c>
      <c r="I20" t="s">
        <v>735</v>
      </c>
      <c r="J20" t="e">
        <f>TRIM(#REF!)</f>
        <v>#REF!</v>
      </c>
      <c r="K20" t="e">
        <f>#REF!&amp;#REF!&amp;#REF!</f>
        <v>#REF!</v>
      </c>
      <c r="L20" t="str">
        <f>IFERROR(VLOOKUP(#REF!,工作表1!E:I,2,FALSE),"")</f>
        <v/>
      </c>
      <c r="M20" t="str">
        <f>IFERROR(VLOOKUP(#REF!,工作表1!E:I,3,FALSE),"")</f>
        <v/>
      </c>
      <c r="N20" t="str">
        <f>IFERROR(VLOOKUP(#REF!,工作表1!E:I,4,FALSE),"")</f>
        <v/>
      </c>
      <c r="O20" t="str">
        <f>IFERROR(VLOOKUP(#REF!,工作表1!E:I,5,FALSE),"")</f>
        <v/>
      </c>
      <c r="P20" t="s">
        <v>736</v>
      </c>
      <c r="Q20" t="s">
        <v>604</v>
      </c>
      <c r="R20" t="s">
        <v>604</v>
      </c>
      <c r="T20" t="s">
        <v>736</v>
      </c>
      <c r="U20" t="s">
        <v>604</v>
      </c>
      <c r="V20" t="s">
        <v>655</v>
      </c>
      <c r="X20" t="s">
        <v>737</v>
      </c>
      <c r="Y20" t="s">
        <v>604</v>
      </c>
      <c r="Z20" t="s">
        <v>508</v>
      </c>
      <c r="AB20" t="s">
        <v>738</v>
      </c>
      <c r="AC20" t="s">
        <v>604</v>
      </c>
      <c r="AD20" t="s">
        <v>530</v>
      </c>
      <c r="AF20" t="s">
        <v>739</v>
      </c>
      <c r="AG20" t="s">
        <v>655</v>
      </c>
      <c r="AH20" t="s">
        <v>502</v>
      </c>
      <c r="AJ20" t="s">
        <v>580</v>
      </c>
      <c r="AK20" t="s">
        <v>740</v>
      </c>
      <c r="AL20" t="s">
        <v>574</v>
      </c>
      <c r="AM20" t="s">
        <v>669</v>
      </c>
      <c r="AN20" t="s">
        <v>480</v>
      </c>
      <c r="AO20" t="s">
        <v>741</v>
      </c>
      <c r="AP20" t="s">
        <v>740</v>
      </c>
      <c r="AQ20" t="s">
        <v>560</v>
      </c>
      <c r="AR20" t="s">
        <v>476</v>
      </c>
      <c r="AS20" t="s">
        <v>716</v>
      </c>
      <c r="AT20" t="s">
        <v>640</v>
      </c>
      <c r="AU20" t="s">
        <v>643</v>
      </c>
      <c r="AV20" t="s">
        <v>480</v>
      </c>
      <c r="AW20" t="s">
        <v>742</v>
      </c>
      <c r="AX20" t="s">
        <v>743</v>
      </c>
      <c r="AY20" t="s">
        <v>606</v>
      </c>
      <c r="AZ20" t="s">
        <v>480</v>
      </c>
      <c r="BA20" t="s">
        <v>744</v>
      </c>
      <c r="BB20" t="s">
        <v>745</v>
      </c>
      <c r="BC20" t="s">
        <v>746</v>
      </c>
      <c r="BD20">
        <v>1568</v>
      </c>
      <c r="BE20">
        <v>1385</v>
      </c>
      <c r="BF20">
        <v>1395</v>
      </c>
      <c r="BG20">
        <v>1451</v>
      </c>
      <c r="BH20">
        <v>1431</v>
      </c>
      <c r="BY20" t="s">
        <v>281</v>
      </c>
      <c r="BZ20" t="s">
        <v>198</v>
      </c>
      <c r="CA20" t="s">
        <v>529</v>
      </c>
      <c r="CB20" t="s">
        <v>174</v>
      </c>
      <c r="CC20" t="s">
        <v>263</v>
      </c>
      <c r="CD20" t="s">
        <v>529</v>
      </c>
      <c r="CE20" t="s">
        <v>174</v>
      </c>
      <c r="CF20" t="s">
        <v>630</v>
      </c>
      <c r="CG20" t="s">
        <v>473</v>
      </c>
      <c r="CH20" t="s">
        <v>201</v>
      </c>
      <c r="CI20" t="s">
        <v>630</v>
      </c>
      <c r="CJ20" t="s">
        <v>529</v>
      </c>
      <c r="CK20" t="s">
        <v>201</v>
      </c>
      <c r="CL20" t="s">
        <v>206</v>
      </c>
      <c r="CM20" t="s">
        <v>529</v>
      </c>
      <c r="CN20" t="s">
        <v>201</v>
      </c>
      <c r="CO20" t="s">
        <v>721</v>
      </c>
      <c r="CP20" t="s">
        <v>529</v>
      </c>
      <c r="CQ20" t="s">
        <v>726</v>
      </c>
      <c r="CR20" t="s">
        <v>629</v>
      </c>
      <c r="CS20" t="s">
        <v>173</v>
      </c>
      <c r="CT20" t="s">
        <v>205</v>
      </c>
      <c r="CU20" t="s">
        <v>630</v>
      </c>
      <c r="CV20" t="s">
        <v>173</v>
      </c>
      <c r="CW20" t="s">
        <v>207</v>
      </c>
      <c r="CX20" t="s">
        <v>630</v>
      </c>
      <c r="CY20" t="s">
        <v>173</v>
      </c>
      <c r="CZ20" t="s">
        <v>201</v>
      </c>
      <c r="DA20" t="s">
        <v>206</v>
      </c>
      <c r="DB20" t="s">
        <v>612</v>
      </c>
      <c r="DC20" t="s">
        <v>216</v>
      </c>
      <c r="DD20" t="s">
        <v>630</v>
      </c>
      <c r="DE20" t="s">
        <v>176</v>
      </c>
      <c r="DF20" t="s">
        <v>205</v>
      </c>
      <c r="DG20" t="s">
        <v>522</v>
      </c>
      <c r="DH20" t="s">
        <v>176</v>
      </c>
      <c r="FH20" t="s">
        <v>747</v>
      </c>
    </row>
    <row r="21" spans="1:164" x14ac:dyDescent="0.25">
      <c r="A21">
        <v>4</v>
      </c>
      <c r="B21" t="s">
        <v>164</v>
      </c>
      <c r="C21">
        <v>46</v>
      </c>
      <c r="D21">
        <v>4601</v>
      </c>
      <c r="E21">
        <v>974738392</v>
      </c>
      <c r="F21" t="s">
        <v>165</v>
      </c>
      <c r="G21" t="s">
        <v>166</v>
      </c>
      <c r="H21" t="s">
        <v>167</v>
      </c>
      <c r="I21" t="s">
        <v>748</v>
      </c>
      <c r="J21" t="e">
        <f>TRIM(#REF!)</f>
        <v>#REF!</v>
      </c>
      <c r="K21" t="e">
        <f>#REF!&amp;#REF!&amp;#REF!</f>
        <v>#REF!</v>
      </c>
      <c r="L21" t="str">
        <f>IFERROR(VLOOKUP(#REF!,工作表1!E:I,2,FALSE),"")</f>
        <v/>
      </c>
      <c r="M21" t="str">
        <f>IFERROR(VLOOKUP(#REF!,工作表1!E:I,3,FALSE),"")</f>
        <v/>
      </c>
      <c r="N21" t="str">
        <f>IFERROR(VLOOKUP(#REF!,工作表1!E:I,4,FALSE),"")</f>
        <v/>
      </c>
      <c r="O21" t="str">
        <f>IFERROR(VLOOKUP(#REF!,工作表1!E:I,5,FALSE),"")</f>
        <v/>
      </c>
      <c r="P21" t="s">
        <v>749</v>
      </c>
      <c r="Q21" t="s">
        <v>481</v>
      </c>
      <c r="R21" t="s">
        <v>689</v>
      </c>
      <c r="T21" t="s">
        <v>750</v>
      </c>
      <c r="U21" t="s">
        <v>481</v>
      </c>
      <c r="V21" t="s">
        <v>751</v>
      </c>
      <c r="X21" t="s">
        <v>752</v>
      </c>
      <c r="Y21" t="s">
        <v>481</v>
      </c>
      <c r="Z21" t="s">
        <v>685</v>
      </c>
      <c r="AB21" t="s">
        <v>753</v>
      </c>
      <c r="AC21" t="s">
        <v>580</v>
      </c>
      <c r="AD21" t="s">
        <v>754</v>
      </c>
      <c r="AF21" t="s">
        <v>755</v>
      </c>
      <c r="AG21" t="s">
        <v>473</v>
      </c>
      <c r="AH21" t="s">
        <v>732</v>
      </c>
      <c r="AJ21" t="s">
        <v>191</v>
      </c>
      <c r="AK21" t="s">
        <v>756</v>
      </c>
      <c r="AL21" t="s">
        <v>757</v>
      </c>
      <c r="AM21" t="s">
        <v>629</v>
      </c>
      <c r="AN21" t="s">
        <v>171</v>
      </c>
      <c r="AO21" t="s">
        <v>594</v>
      </c>
      <c r="AP21" t="s">
        <v>758</v>
      </c>
      <c r="AQ21" t="s">
        <v>550</v>
      </c>
      <c r="AR21" t="s">
        <v>203</v>
      </c>
      <c r="AS21" t="s">
        <v>759</v>
      </c>
      <c r="AT21" t="s">
        <v>487</v>
      </c>
      <c r="AU21" t="s">
        <v>721</v>
      </c>
      <c r="AV21" t="s">
        <v>595</v>
      </c>
      <c r="AW21" t="s">
        <v>760</v>
      </c>
      <c r="AX21" t="s">
        <v>761</v>
      </c>
      <c r="AY21" t="s">
        <v>550</v>
      </c>
      <c r="AZ21" t="s">
        <v>595</v>
      </c>
      <c r="BA21" t="s">
        <v>762</v>
      </c>
      <c r="BB21" t="s">
        <v>763</v>
      </c>
      <c r="BC21" t="s">
        <v>650</v>
      </c>
      <c r="BD21">
        <v>1529</v>
      </c>
      <c r="BE21">
        <v>1480</v>
      </c>
      <c r="BF21">
        <v>1415</v>
      </c>
      <c r="BG21">
        <v>1524</v>
      </c>
      <c r="BH21">
        <v>1571</v>
      </c>
      <c r="BY21" t="s">
        <v>174</v>
      </c>
      <c r="BZ21" t="s">
        <v>486</v>
      </c>
      <c r="CA21" t="s">
        <v>171</v>
      </c>
      <c r="CB21" t="s">
        <v>177</v>
      </c>
      <c r="CC21" t="s">
        <v>629</v>
      </c>
      <c r="CD21" t="s">
        <v>171</v>
      </c>
      <c r="CE21" t="s">
        <v>207</v>
      </c>
      <c r="CF21" t="s">
        <v>202</v>
      </c>
      <c r="CG21" t="s">
        <v>171</v>
      </c>
      <c r="CH21" t="s">
        <v>207</v>
      </c>
      <c r="CI21" t="s">
        <v>557</v>
      </c>
      <c r="CJ21" t="s">
        <v>210</v>
      </c>
      <c r="CK21" t="s">
        <v>210</v>
      </c>
      <c r="CL21" t="s">
        <v>202</v>
      </c>
      <c r="CM21" t="s">
        <v>215</v>
      </c>
      <c r="CN21" t="s">
        <v>215</v>
      </c>
      <c r="CO21" t="s">
        <v>206</v>
      </c>
      <c r="CP21" t="s">
        <v>215</v>
      </c>
      <c r="CQ21" t="s">
        <v>177</v>
      </c>
      <c r="CR21" t="s">
        <v>301</v>
      </c>
      <c r="CS21" t="s">
        <v>216</v>
      </c>
      <c r="CT21" t="s">
        <v>216</v>
      </c>
      <c r="CU21" t="s">
        <v>557</v>
      </c>
      <c r="CV21" t="s">
        <v>177</v>
      </c>
      <c r="CW21" t="s">
        <v>207</v>
      </c>
      <c r="CX21" t="s">
        <v>486</v>
      </c>
      <c r="CY21" t="s">
        <v>177</v>
      </c>
      <c r="CZ21" t="s">
        <v>281</v>
      </c>
      <c r="DA21" t="s">
        <v>494</v>
      </c>
      <c r="DB21" t="s">
        <v>582</v>
      </c>
      <c r="DC21" t="s">
        <v>210</v>
      </c>
      <c r="DD21" t="s">
        <v>497</v>
      </c>
      <c r="DE21" t="s">
        <v>600</v>
      </c>
      <c r="DF21" t="s">
        <v>177</v>
      </c>
      <c r="DG21" t="s">
        <v>211</v>
      </c>
      <c r="DH21" t="s">
        <v>582</v>
      </c>
      <c r="FH21" t="s">
        <v>764</v>
      </c>
    </row>
    <row r="22" spans="1:164" x14ac:dyDescent="0.25">
      <c r="A22">
        <v>4</v>
      </c>
      <c r="B22" t="s">
        <v>164</v>
      </c>
      <c r="C22">
        <v>46</v>
      </c>
      <c r="D22">
        <v>4601</v>
      </c>
      <c r="E22">
        <v>974738554</v>
      </c>
      <c r="F22" t="s">
        <v>165</v>
      </c>
      <c r="G22" t="s">
        <v>166</v>
      </c>
      <c r="H22" t="s">
        <v>167</v>
      </c>
      <c r="I22" t="s">
        <v>765</v>
      </c>
      <c r="J22" t="e">
        <f>TRIM(#REF!)</f>
        <v>#REF!</v>
      </c>
      <c r="K22" t="e">
        <f>#REF!&amp;#REF!&amp;#REF!</f>
        <v>#REF!</v>
      </c>
      <c r="L22" t="str">
        <f>IFERROR(VLOOKUP(#REF!,工作表1!E:I,2,FALSE),"")</f>
        <v/>
      </c>
      <c r="M22" t="str">
        <f>IFERROR(VLOOKUP(#REF!,工作表1!E:I,3,FALSE),"")</f>
        <v/>
      </c>
      <c r="N22" t="str">
        <f>IFERROR(VLOOKUP(#REF!,工作表1!E:I,4,FALSE),"")</f>
        <v/>
      </c>
      <c r="O22" t="str">
        <f>IFERROR(VLOOKUP(#REF!,工作表1!E:I,5,FALSE),"")</f>
        <v/>
      </c>
      <c r="P22" t="s">
        <v>766</v>
      </c>
      <c r="Q22" t="s">
        <v>480</v>
      </c>
      <c r="R22" t="s">
        <v>476</v>
      </c>
      <c r="T22" t="s">
        <v>767</v>
      </c>
      <c r="U22" t="s">
        <v>580</v>
      </c>
      <c r="V22" t="s">
        <v>502</v>
      </c>
      <c r="X22" t="s">
        <v>768</v>
      </c>
      <c r="Y22" t="s">
        <v>581</v>
      </c>
      <c r="Z22" t="s">
        <v>580</v>
      </c>
      <c r="AB22" t="s">
        <v>769</v>
      </c>
      <c r="AC22" t="s">
        <v>505</v>
      </c>
      <c r="AD22" t="s">
        <v>170</v>
      </c>
      <c r="AF22" t="s">
        <v>707</v>
      </c>
      <c r="AG22" t="s">
        <v>608</v>
      </c>
      <c r="AH22" t="s">
        <v>474</v>
      </c>
      <c r="AJ22" t="s">
        <v>476</v>
      </c>
      <c r="AK22" t="s">
        <v>770</v>
      </c>
      <c r="AL22" t="s">
        <v>771</v>
      </c>
      <c r="AM22" t="s">
        <v>206</v>
      </c>
      <c r="AN22" t="s">
        <v>476</v>
      </c>
      <c r="AO22" t="s">
        <v>772</v>
      </c>
      <c r="AP22" t="s">
        <v>773</v>
      </c>
      <c r="AQ22" t="s">
        <v>213</v>
      </c>
      <c r="AR22" t="s">
        <v>501</v>
      </c>
      <c r="AS22" t="s">
        <v>773</v>
      </c>
      <c r="AT22" t="s">
        <v>720</v>
      </c>
      <c r="AU22" t="s">
        <v>190</v>
      </c>
      <c r="AV22" t="s">
        <v>476</v>
      </c>
      <c r="AW22" t="s">
        <v>773</v>
      </c>
      <c r="AX22" t="s">
        <v>774</v>
      </c>
      <c r="AY22" t="s">
        <v>644</v>
      </c>
      <c r="AZ22" t="s">
        <v>501</v>
      </c>
      <c r="BA22" t="s">
        <v>775</v>
      </c>
      <c r="BB22" t="s">
        <v>776</v>
      </c>
      <c r="BC22" t="s">
        <v>562</v>
      </c>
      <c r="BD22">
        <v>1621</v>
      </c>
      <c r="BE22">
        <v>1687</v>
      </c>
      <c r="BF22">
        <v>1684</v>
      </c>
      <c r="BG22">
        <v>1676</v>
      </c>
      <c r="BH22">
        <v>1605</v>
      </c>
      <c r="CA22" t="s">
        <v>556</v>
      </c>
      <c r="CB22" t="s">
        <v>174</v>
      </c>
      <c r="CC22" t="s">
        <v>211</v>
      </c>
      <c r="CD22" t="s">
        <v>519</v>
      </c>
      <c r="CG22" t="s">
        <v>556</v>
      </c>
      <c r="CH22" t="s">
        <v>207</v>
      </c>
      <c r="CI22" t="s">
        <v>486</v>
      </c>
      <c r="CJ22" t="s">
        <v>171</v>
      </c>
      <c r="CK22" t="s">
        <v>207</v>
      </c>
      <c r="CL22" t="s">
        <v>204</v>
      </c>
      <c r="CM22" t="s">
        <v>595</v>
      </c>
      <c r="CN22" t="s">
        <v>281</v>
      </c>
      <c r="CO22" t="s">
        <v>557</v>
      </c>
      <c r="CP22" t="s">
        <v>593</v>
      </c>
      <c r="CQ22" t="s">
        <v>174</v>
      </c>
      <c r="CR22" t="s">
        <v>351</v>
      </c>
      <c r="CS22" t="s">
        <v>533</v>
      </c>
      <c r="CT22" t="s">
        <v>174</v>
      </c>
      <c r="CU22" t="s">
        <v>266</v>
      </c>
      <c r="CV22" t="s">
        <v>519</v>
      </c>
      <c r="CW22" t="s">
        <v>216</v>
      </c>
      <c r="CX22" t="s">
        <v>630</v>
      </c>
      <c r="CY22" t="s">
        <v>519</v>
      </c>
      <c r="CZ22" t="s">
        <v>205</v>
      </c>
      <c r="DA22" t="s">
        <v>630</v>
      </c>
      <c r="DB22" t="s">
        <v>182</v>
      </c>
      <c r="DC22" t="s">
        <v>205</v>
      </c>
      <c r="DD22" t="s">
        <v>721</v>
      </c>
      <c r="DE22" t="s">
        <v>533</v>
      </c>
      <c r="DF22" t="s">
        <v>205</v>
      </c>
      <c r="DG22" t="s">
        <v>721</v>
      </c>
      <c r="DH22" t="s">
        <v>512</v>
      </c>
      <c r="FH22" t="s">
        <v>777</v>
      </c>
    </row>
    <row r="23" spans="1:164" x14ac:dyDescent="0.25">
      <c r="A23">
        <v>4</v>
      </c>
      <c r="B23" t="s">
        <v>164</v>
      </c>
      <c r="C23">
        <v>46</v>
      </c>
      <c r="D23">
        <v>4601</v>
      </c>
      <c r="E23">
        <v>976654773</v>
      </c>
      <c r="F23" t="s">
        <v>165</v>
      </c>
      <c r="G23" t="s">
        <v>166</v>
      </c>
      <c r="H23" t="s">
        <v>167</v>
      </c>
      <c r="I23" t="s">
        <v>778</v>
      </c>
      <c r="J23" t="e">
        <f>TRIM(#REF!)</f>
        <v>#REF!</v>
      </c>
      <c r="K23" t="e">
        <f>#REF!&amp;#REF!&amp;#REF!</f>
        <v>#REF!</v>
      </c>
      <c r="L23" t="str">
        <f>IFERROR(VLOOKUP(#REF!,工作表1!E:I,2,FALSE),"")</f>
        <v/>
      </c>
      <c r="M23" t="str">
        <f>IFERROR(VLOOKUP(#REF!,工作表1!E:I,3,FALSE),"")</f>
        <v/>
      </c>
      <c r="N23" t="str">
        <f>IFERROR(VLOOKUP(#REF!,工作表1!E:I,4,FALSE),"")</f>
        <v/>
      </c>
      <c r="O23" t="str">
        <f>IFERROR(VLOOKUP(#REF!,工作表1!E:I,5,FALSE),"")</f>
        <v/>
      </c>
      <c r="P23" t="s">
        <v>779</v>
      </c>
      <c r="Q23" t="s">
        <v>655</v>
      </c>
      <c r="R23" t="s">
        <v>170</v>
      </c>
      <c r="T23" t="s">
        <v>780</v>
      </c>
      <c r="U23" t="s">
        <v>504</v>
      </c>
      <c r="V23" t="s">
        <v>581</v>
      </c>
      <c r="X23" t="s">
        <v>587</v>
      </c>
      <c r="Y23" t="s">
        <v>580</v>
      </c>
      <c r="Z23" t="s">
        <v>505</v>
      </c>
      <c r="AB23" t="s">
        <v>781</v>
      </c>
      <c r="AC23" t="s">
        <v>481</v>
      </c>
      <c r="AD23" t="s">
        <v>505</v>
      </c>
      <c r="AF23" t="s">
        <v>585</v>
      </c>
      <c r="AG23" t="s">
        <v>608</v>
      </c>
      <c r="AH23" t="s">
        <v>604</v>
      </c>
      <c r="AJ23" t="s">
        <v>179</v>
      </c>
      <c r="AK23" t="s">
        <v>701</v>
      </c>
      <c r="AL23" t="s">
        <v>782</v>
      </c>
      <c r="AM23" t="s">
        <v>301</v>
      </c>
      <c r="AN23" t="s">
        <v>195</v>
      </c>
      <c r="AO23" t="s">
        <v>783</v>
      </c>
      <c r="AP23" t="s">
        <v>491</v>
      </c>
      <c r="AQ23" t="s">
        <v>301</v>
      </c>
      <c r="AR23" t="s">
        <v>489</v>
      </c>
      <c r="AS23" t="s">
        <v>784</v>
      </c>
      <c r="AT23" t="s">
        <v>184</v>
      </c>
      <c r="AU23" t="s">
        <v>214</v>
      </c>
      <c r="AV23" t="s">
        <v>187</v>
      </c>
      <c r="AW23" t="s">
        <v>785</v>
      </c>
      <c r="AX23" t="s">
        <v>485</v>
      </c>
      <c r="AY23" t="s">
        <v>598</v>
      </c>
      <c r="AZ23" t="s">
        <v>593</v>
      </c>
      <c r="BA23" t="s">
        <v>786</v>
      </c>
      <c r="BB23" t="s">
        <v>787</v>
      </c>
      <c r="BC23" t="s">
        <v>721</v>
      </c>
      <c r="BD23">
        <v>1712</v>
      </c>
      <c r="BE23">
        <v>1669</v>
      </c>
      <c r="BF23">
        <v>1676</v>
      </c>
      <c r="BG23">
        <v>1637</v>
      </c>
      <c r="BH23">
        <v>1645</v>
      </c>
      <c r="BY23" t="s">
        <v>177</v>
      </c>
      <c r="BZ23" t="s">
        <v>204</v>
      </c>
      <c r="CA23" t="s">
        <v>523</v>
      </c>
      <c r="CB23" t="s">
        <v>177</v>
      </c>
      <c r="CC23" t="s">
        <v>486</v>
      </c>
      <c r="CD23" t="s">
        <v>524</v>
      </c>
      <c r="CE23" t="s">
        <v>281</v>
      </c>
      <c r="CF23" t="s">
        <v>494</v>
      </c>
      <c r="CG23" t="s">
        <v>523</v>
      </c>
      <c r="CH23" t="s">
        <v>281</v>
      </c>
      <c r="CI23" t="s">
        <v>204</v>
      </c>
      <c r="CJ23" t="s">
        <v>281</v>
      </c>
      <c r="CK23" t="s">
        <v>201</v>
      </c>
      <c r="CL23" t="s">
        <v>213</v>
      </c>
      <c r="CM23" t="s">
        <v>281</v>
      </c>
      <c r="CN23" t="s">
        <v>174</v>
      </c>
      <c r="CO23" t="s">
        <v>213</v>
      </c>
      <c r="CP23" t="s">
        <v>281</v>
      </c>
      <c r="CQ23" t="s">
        <v>177</v>
      </c>
      <c r="CR23" t="s">
        <v>495</v>
      </c>
      <c r="CS23" t="s">
        <v>180</v>
      </c>
      <c r="CT23" t="s">
        <v>201</v>
      </c>
      <c r="CU23" t="s">
        <v>495</v>
      </c>
      <c r="CV23" t="s">
        <v>584</v>
      </c>
      <c r="CW23" t="s">
        <v>174</v>
      </c>
      <c r="CX23" t="s">
        <v>213</v>
      </c>
      <c r="CY23" t="s">
        <v>586</v>
      </c>
      <c r="CZ23" t="s">
        <v>207</v>
      </c>
      <c r="DA23" t="s">
        <v>211</v>
      </c>
      <c r="DB23" t="s">
        <v>216</v>
      </c>
      <c r="DC23" t="s">
        <v>281</v>
      </c>
      <c r="DD23" t="s">
        <v>214</v>
      </c>
      <c r="DE23" t="s">
        <v>216</v>
      </c>
      <c r="DF23" t="s">
        <v>496</v>
      </c>
      <c r="DG23" t="s">
        <v>557</v>
      </c>
      <c r="DH23" t="s">
        <v>216</v>
      </c>
      <c r="FH23" t="s">
        <v>788</v>
      </c>
    </row>
    <row r="24" spans="1:164" x14ac:dyDescent="0.25">
      <c r="A24">
        <v>4</v>
      </c>
      <c r="B24" t="s">
        <v>164</v>
      </c>
      <c r="C24">
        <v>46</v>
      </c>
      <c r="D24">
        <v>4601</v>
      </c>
      <c r="E24">
        <v>974738740</v>
      </c>
      <c r="F24" t="s">
        <v>165</v>
      </c>
      <c r="G24" t="s">
        <v>166</v>
      </c>
      <c r="H24" t="s">
        <v>167</v>
      </c>
      <c r="I24" t="s">
        <v>789</v>
      </c>
      <c r="J24" t="e">
        <f>TRIM(#REF!)</f>
        <v>#REF!</v>
      </c>
      <c r="K24" t="e">
        <f>#REF!&amp;#REF!&amp;#REF!</f>
        <v>#REF!</v>
      </c>
      <c r="L24" t="str">
        <f>IFERROR(VLOOKUP(#REF!,工作表1!E:I,2,FALSE),"")</f>
        <v/>
      </c>
      <c r="M24" t="str">
        <f>IFERROR(VLOOKUP(#REF!,工作表1!E:I,3,FALSE),"")</f>
        <v/>
      </c>
      <c r="N24" t="str">
        <f>IFERROR(VLOOKUP(#REF!,工作表1!E:I,4,FALSE),"")</f>
        <v/>
      </c>
      <c r="O24" t="str">
        <f>IFERROR(VLOOKUP(#REF!,工作表1!E:I,5,FALSE),"")</f>
        <v/>
      </c>
      <c r="P24" t="s">
        <v>790</v>
      </c>
      <c r="Q24" t="s">
        <v>612</v>
      </c>
      <c r="R24" t="s">
        <v>182</v>
      </c>
      <c r="T24" t="s">
        <v>506</v>
      </c>
      <c r="U24" t="s">
        <v>612</v>
      </c>
      <c r="V24" t="s">
        <v>474</v>
      </c>
      <c r="X24" t="s">
        <v>791</v>
      </c>
      <c r="Y24" t="s">
        <v>593</v>
      </c>
      <c r="Z24" t="s">
        <v>489</v>
      </c>
      <c r="AB24" t="s">
        <v>792</v>
      </c>
      <c r="AC24" t="s">
        <v>176</v>
      </c>
      <c r="AD24" t="s">
        <v>512</v>
      </c>
      <c r="AF24" t="s">
        <v>793</v>
      </c>
      <c r="AG24" t="s">
        <v>489</v>
      </c>
      <c r="AH24" t="s">
        <v>501</v>
      </c>
      <c r="AJ24" t="s">
        <v>593</v>
      </c>
      <c r="AK24" t="s">
        <v>794</v>
      </c>
      <c r="AL24" t="s">
        <v>795</v>
      </c>
      <c r="AM24" t="s">
        <v>623</v>
      </c>
      <c r="AN24" t="s">
        <v>187</v>
      </c>
      <c r="AO24" t="s">
        <v>796</v>
      </c>
      <c r="AP24" t="s">
        <v>698</v>
      </c>
      <c r="AQ24" t="s">
        <v>797</v>
      </c>
      <c r="AR24" t="s">
        <v>179</v>
      </c>
      <c r="AS24" t="s">
        <v>798</v>
      </c>
      <c r="AT24" t="s">
        <v>799</v>
      </c>
      <c r="AU24" t="s">
        <v>800</v>
      </c>
      <c r="AV24" t="s">
        <v>612</v>
      </c>
      <c r="AW24" t="s">
        <v>801</v>
      </c>
      <c r="AX24" t="s">
        <v>518</v>
      </c>
      <c r="AY24" t="s">
        <v>629</v>
      </c>
      <c r="AZ24" t="s">
        <v>612</v>
      </c>
      <c r="BA24" t="s">
        <v>702</v>
      </c>
      <c r="BB24" t="s">
        <v>660</v>
      </c>
      <c r="BC24" t="s">
        <v>598</v>
      </c>
      <c r="BD24">
        <v>1650</v>
      </c>
      <c r="BE24">
        <v>1567</v>
      </c>
      <c r="BF24">
        <v>1577</v>
      </c>
      <c r="BG24">
        <v>1604</v>
      </c>
      <c r="BH24">
        <v>1592</v>
      </c>
      <c r="BY24" t="s">
        <v>177</v>
      </c>
      <c r="BZ24" t="s">
        <v>494</v>
      </c>
      <c r="CA24" t="s">
        <v>209</v>
      </c>
      <c r="CB24" t="s">
        <v>216</v>
      </c>
      <c r="CC24" t="s">
        <v>494</v>
      </c>
      <c r="CD24" t="s">
        <v>215</v>
      </c>
      <c r="CE24" t="s">
        <v>177</v>
      </c>
      <c r="CF24" t="s">
        <v>211</v>
      </c>
      <c r="CG24" t="s">
        <v>519</v>
      </c>
      <c r="CH24" t="s">
        <v>207</v>
      </c>
      <c r="CI24" t="s">
        <v>494</v>
      </c>
      <c r="CJ24" t="s">
        <v>171</v>
      </c>
      <c r="CK24" t="s">
        <v>210</v>
      </c>
      <c r="CL24" t="s">
        <v>211</v>
      </c>
      <c r="CM24" t="s">
        <v>595</v>
      </c>
      <c r="CN24" t="s">
        <v>177</v>
      </c>
      <c r="CO24" t="s">
        <v>202</v>
      </c>
      <c r="CP24" t="s">
        <v>171</v>
      </c>
      <c r="CQ24" t="s">
        <v>207</v>
      </c>
      <c r="CR24" t="s">
        <v>214</v>
      </c>
      <c r="CS24" t="s">
        <v>595</v>
      </c>
      <c r="CT24" t="s">
        <v>525</v>
      </c>
      <c r="CU24" t="s">
        <v>522</v>
      </c>
      <c r="CV24" t="s">
        <v>595</v>
      </c>
      <c r="CW24" t="s">
        <v>210</v>
      </c>
      <c r="CX24" t="s">
        <v>630</v>
      </c>
      <c r="CY24" t="s">
        <v>595</v>
      </c>
      <c r="CZ24" t="s">
        <v>216</v>
      </c>
      <c r="DA24" t="s">
        <v>486</v>
      </c>
      <c r="DB24" t="s">
        <v>195</v>
      </c>
      <c r="DC24" t="s">
        <v>209</v>
      </c>
      <c r="DD24" t="s">
        <v>202</v>
      </c>
      <c r="DE24" t="s">
        <v>593</v>
      </c>
      <c r="DF24" t="s">
        <v>212</v>
      </c>
      <c r="DG24" t="s">
        <v>629</v>
      </c>
      <c r="DH24" t="s">
        <v>593</v>
      </c>
      <c r="FH24" t="s">
        <v>802</v>
      </c>
    </row>
    <row r="25" spans="1:164" x14ac:dyDescent="0.25">
      <c r="A25">
        <v>4</v>
      </c>
      <c r="B25" t="s">
        <v>164</v>
      </c>
      <c r="C25">
        <v>46</v>
      </c>
      <c r="D25">
        <v>4601</v>
      </c>
      <c r="E25">
        <v>973159658</v>
      </c>
      <c r="F25" t="s">
        <v>165</v>
      </c>
      <c r="G25" t="s">
        <v>166</v>
      </c>
      <c r="H25" t="s">
        <v>167</v>
      </c>
      <c r="I25" t="s">
        <v>803</v>
      </c>
      <c r="J25" t="e">
        <f>TRIM(#REF!)</f>
        <v>#REF!</v>
      </c>
      <c r="K25" t="e">
        <f>#REF!&amp;#REF!&amp;#REF!</f>
        <v>#REF!</v>
      </c>
      <c r="L25" t="str">
        <f>IFERROR(VLOOKUP(#REF!,工作表1!E:I,2,FALSE),"")</f>
        <v/>
      </c>
      <c r="M25" t="str">
        <f>IFERROR(VLOOKUP(#REF!,工作表1!E:I,3,FALSE),"")</f>
        <v/>
      </c>
      <c r="N25" t="str">
        <f>IFERROR(VLOOKUP(#REF!,工作表1!E:I,4,FALSE),"")</f>
        <v/>
      </c>
      <c r="O25" t="str">
        <f>IFERROR(VLOOKUP(#REF!,工作表1!E:I,5,FALSE),"")</f>
        <v/>
      </c>
      <c r="P25" t="s">
        <v>804</v>
      </c>
      <c r="Q25" t="s">
        <v>501</v>
      </c>
      <c r="R25" t="s">
        <v>556</v>
      </c>
      <c r="T25" t="s">
        <v>804</v>
      </c>
      <c r="U25" t="s">
        <v>581</v>
      </c>
      <c r="V25" t="s">
        <v>556</v>
      </c>
      <c r="X25" t="s">
        <v>804</v>
      </c>
      <c r="Y25" t="s">
        <v>476</v>
      </c>
      <c r="Z25" t="s">
        <v>556</v>
      </c>
      <c r="AB25" t="s">
        <v>804</v>
      </c>
      <c r="AC25" t="s">
        <v>581</v>
      </c>
      <c r="AD25" t="s">
        <v>556</v>
      </c>
      <c r="AF25" t="s">
        <v>804</v>
      </c>
      <c r="AG25" t="s">
        <v>473</v>
      </c>
      <c r="AH25" t="s">
        <v>556</v>
      </c>
      <c r="AJ25" t="s">
        <v>176</v>
      </c>
      <c r="AK25" t="s">
        <v>656</v>
      </c>
      <c r="AL25" t="s">
        <v>805</v>
      </c>
      <c r="AM25" t="s">
        <v>721</v>
      </c>
      <c r="AN25" t="s">
        <v>489</v>
      </c>
      <c r="AO25" t="s">
        <v>616</v>
      </c>
      <c r="AP25" t="s">
        <v>806</v>
      </c>
      <c r="AQ25" t="s">
        <v>211</v>
      </c>
      <c r="AR25" t="s">
        <v>182</v>
      </c>
      <c r="AS25" t="s">
        <v>511</v>
      </c>
      <c r="AT25" t="s">
        <v>807</v>
      </c>
      <c r="AU25" t="s">
        <v>213</v>
      </c>
      <c r="AV25" t="s">
        <v>519</v>
      </c>
      <c r="AW25" t="s">
        <v>808</v>
      </c>
      <c r="AX25" t="s">
        <v>714</v>
      </c>
      <c r="AY25" t="s">
        <v>564</v>
      </c>
      <c r="AZ25" t="s">
        <v>612</v>
      </c>
      <c r="BA25" t="s">
        <v>617</v>
      </c>
      <c r="BB25" t="s">
        <v>809</v>
      </c>
      <c r="BC25" t="s">
        <v>746</v>
      </c>
      <c r="BD25">
        <v>2390</v>
      </c>
      <c r="BE25">
        <v>2308</v>
      </c>
      <c r="BF25">
        <v>2308</v>
      </c>
      <c r="BG25">
        <v>2380</v>
      </c>
      <c r="BH25">
        <v>2573</v>
      </c>
      <c r="BI25" t="s">
        <v>261</v>
      </c>
      <c r="BJ25" t="s">
        <v>262</v>
      </c>
      <c r="BK25" t="s">
        <v>633</v>
      </c>
      <c r="BL25" t="s">
        <v>684</v>
      </c>
      <c r="BM25" t="s">
        <v>190</v>
      </c>
      <c r="BN25" t="s">
        <v>684</v>
      </c>
      <c r="BO25" t="s">
        <v>637</v>
      </c>
      <c r="BP25" t="s">
        <v>691</v>
      </c>
      <c r="BQ25" t="s">
        <v>550</v>
      </c>
      <c r="BR25" t="s">
        <v>683</v>
      </c>
      <c r="BS25" t="s">
        <v>810</v>
      </c>
      <c r="BT25" t="s">
        <v>811</v>
      </c>
      <c r="BU25" t="s">
        <v>812</v>
      </c>
      <c r="BV25" t="s">
        <v>691</v>
      </c>
      <c r="BW25" t="s">
        <v>813</v>
      </c>
      <c r="BX25" t="s">
        <v>689</v>
      </c>
      <c r="DI25" t="s">
        <v>174</v>
      </c>
      <c r="DJ25" t="s">
        <v>669</v>
      </c>
      <c r="DK25" t="s">
        <v>689</v>
      </c>
      <c r="DL25" t="s">
        <v>205</v>
      </c>
      <c r="DM25" t="s">
        <v>669</v>
      </c>
      <c r="DN25" t="s">
        <v>684</v>
      </c>
      <c r="DO25" t="s">
        <v>201</v>
      </c>
      <c r="DP25" t="s">
        <v>566</v>
      </c>
      <c r="DQ25" t="s">
        <v>689</v>
      </c>
      <c r="DR25" t="s">
        <v>201</v>
      </c>
      <c r="DS25" t="s">
        <v>644</v>
      </c>
      <c r="DT25" t="s">
        <v>684</v>
      </c>
      <c r="DU25" t="s">
        <v>201</v>
      </c>
      <c r="DV25" t="s">
        <v>644</v>
      </c>
      <c r="DW25" t="s">
        <v>689</v>
      </c>
      <c r="DX25" t="s">
        <v>201</v>
      </c>
      <c r="DY25" t="s">
        <v>644</v>
      </c>
      <c r="DZ25" t="s">
        <v>689</v>
      </c>
      <c r="EA25" t="s">
        <v>201</v>
      </c>
      <c r="EB25" t="s">
        <v>566</v>
      </c>
      <c r="EC25" t="s">
        <v>811</v>
      </c>
      <c r="ED25" t="s">
        <v>174</v>
      </c>
      <c r="EE25" t="s">
        <v>558</v>
      </c>
      <c r="EF25" t="s">
        <v>811</v>
      </c>
      <c r="EG25" t="s">
        <v>201</v>
      </c>
      <c r="EH25" t="s">
        <v>301</v>
      </c>
      <c r="EI25" t="s">
        <v>684</v>
      </c>
      <c r="EJ25" t="s">
        <v>205</v>
      </c>
      <c r="EK25" t="s">
        <v>644</v>
      </c>
      <c r="EL25" t="s">
        <v>811</v>
      </c>
      <c r="EM25" t="s">
        <v>496</v>
      </c>
      <c r="EN25" t="s">
        <v>301</v>
      </c>
      <c r="EO25" t="s">
        <v>811</v>
      </c>
      <c r="EP25" t="s">
        <v>201</v>
      </c>
      <c r="EQ25" t="s">
        <v>495</v>
      </c>
      <c r="ER25" t="s">
        <v>811</v>
      </c>
      <c r="ES25" t="s">
        <v>306</v>
      </c>
      <c r="ET25" t="s">
        <v>211</v>
      </c>
      <c r="EU25" t="s">
        <v>811</v>
      </c>
      <c r="EV25" t="s">
        <v>186</v>
      </c>
      <c r="EW25" t="s">
        <v>389</v>
      </c>
      <c r="EX25" t="s">
        <v>811</v>
      </c>
      <c r="EY25">
        <v>80</v>
      </c>
      <c r="EZ25">
        <v>60</v>
      </c>
      <c r="FA25" t="s">
        <v>691</v>
      </c>
      <c r="FB25" t="s">
        <v>468</v>
      </c>
      <c r="FC25" t="s">
        <v>306</v>
      </c>
      <c r="FD25" t="s">
        <v>691</v>
      </c>
      <c r="FE25">
        <v>100</v>
      </c>
      <c r="FF25">
        <v>60</v>
      </c>
      <c r="FG25" t="s">
        <v>811</v>
      </c>
      <c r="FH25" t="s">
        <v>814</v>
      </c>
    </row>
    <row r="26" spans="1:164" x14ac:dyDescent="0.25">
      <c r="A26">
        <v>4</v>
      </c>
      <c r="B26" t="s">
        <v>164</v>
      </c>
      <c r="C26">
        <v>46</v>
      </c>
      <c r="D26">
        <v>4601</v>
      </c>
      <c r="E26">
        <v>974737949</v>
      </c>
      <c r="F26" t="s">
        <v>165</v>
      </c>
      <c r="G26" t="s">
        <v>166</v>
      </c>
      <c r="H26" t="s">
        <v>167</v>
      </c>
      <c r="I26" t="s">
        <v>815</v>
      </c>
      <c r="J26" t="e">
        <f>TRIM(#REF!)</f>
        <v>#REF!</v>
      </c>
      <c r="K26" t="e">
        <f>#REF!&amp;#REF!&amp;#REF!</f>
        <v>#REF!</v>
      </c>
      <c r="L26" t="str">
        <f>IFERROR(VLOOKUP(#REF!,工作表1!E:I,2,FALSE),"")</f>
        <v/>
      </c>
      <c r="M26" t="str">
        <f>IFERROR(VLOOKUP(#REF!,工作表1!E:I,3,FALSE),"")</f>
        <v/>
      </c>
      <c r="N26" t="str">
        <f>IFERROR(VLOOKUP(#REF!,工作表1!E:I,4,FALSE),"")</f>
        <v/>
      </c>
      <c r="O26" t="str">
        <f>IFERROR(VLOOKUP(#REF!,工作表1!E:I,5,FALSE),"")</f>
        <v/>
      </c>
      <c r="P26" t="s">
        <v>816</v>
      </c>
      <c r="Q26" t="s">
        <v>512</v>
      </c>
      <c r="R26" t="s">
        <v>811</v>
      </c>
      <c r="T26" t="s">
        <v>817</v>
      </c>
      <c r="U26" t="s">
        <v>176</v>
      </c>
      <c r="V26" t="s">
        <v>818</v>
      </c>
      <c r="X26" t="s">
        <v>531</v>
      </c>
      <c r="Y26" t="s">
        <v>187</v>
      </c>
      <c r="Z26" t="s">
        <v>819</v>
      </c>
      <c r="AB26" t="s">
        <v>820</v>
      </c>
      <c r="AC26" t="s">
        <v>612</v>
      </c>
      <c r="AD26" t="s">
        <v>821</v>
      </c>
      <c r="AF26" t="s">
        <v>822</v>
      </c>
      <c r="AG26" t="s">
        <v>179</v>
      </c>
      <c r="AH26" t="s">
        <v>584</v>
      </c>
      <c r="AJ26" t="s">
        <v>212</v>
      </c>
      <c r="AK26" t="s">
        <v>823</v>
      </c>
      <c r="AL26" t="s">
        <v>824</v>
      </c>
      <c r="AM26" t="s">
        <v>825</v>
      </c>
      <c r="AN26" t="s">
        <v>523</v>
      </c>
      <c r="AO26" t="s">
        <v>826</v>
      </c>
      <c r="AP26" t="s">
        <v>269</v>
      </c>
      <c r="AQ26" t="s">
        <v>827</v>
      </c>
      <c r="AR26" t="s">
        <v>523</v>
      </c>
      <c r="AS26" t="s">
        <v>553</v>
      </c>
      <c r="AT26" t="s">
        <v>828</v>
      </c>
      <c r="AU26" t="s">
        <v>829</v>
      </c>
      <c r="AV26" t="s">
        <v>212</v>
      </c>
      <c r="AW26" t="s">
        <v>830</v>
      </c>
      <c r="AX26" t="s">
        <v>831</v>
      </c>
      <c r="AY26" t="s">
        <v>829</v>
      </c>
      <c r="AZ26" t="s">
        <v>203</v>
      </c>
      <c r="BA26" t="s">
        <v>723</v>
      </c>
      <c r="BB26" t="s">
        <v>832</v>
      </c>
      <c r="BC26" t="s">
        <v>389</v>
      </c>
      <c r="BD26">
        <v>1328</v>
      </c>
      <c r="BE26">
        <v>1320</v>
      </c>
      <c r="BF26">
        <v>1478</v>
      </c>
      <c r="BG26">
        <v>1511</v>
      </c>
      <c r="BH26">
        <v>1478</v>
      </c>
      <c r="BY26" t="s">
        <v>177</v>
      </c>
      <c r="BZ26" t="s">
        <v>497</v>
      </c>
      <c r="CA26" t="s">
        <v>833</v>
      </c>
      <c r="CB26" t="s">
        <v>216</v>
      </c>
      <c r="CC26" t="s">
        <v>497</v>
      </c>
      <c r="CD26" t="s">
        <v>834</v>
      </c>
      <c r="CE26" t="s">
        <v>210</v>
      </c>
      <c r="CF26" t="s">
        <v>497</v>
      </c>
      <c r="CG26" t="s">
        <v>833</v>
      </c>
      <c r="CH26" t="s">
        <v>210</v>
      </c>
      <c r="CI26" t="s">
        <v>644</v>
      </c>
      <c r="CJ26" t="s">
        <v>180</v>
      </c>
      <c r="CK26" t="s">
        <v>215</v>
      </c>
      <c r="CL26" t="s">
        <v>213</v>
      </c>
      <c r="CM26" t="s">
        <v>600</v>
      </c>
      <c r="CN26" t="s">
        <v>216</v>
      </c>
      <c r="CO26" t="s">
        <v>557</v>
      </c>
      <c r="CP26" t="s">
        <v>726</v>
      </c>
      <c r="CQ26" t="s">
        <v>177</v>
      </c>
      <c r="CR26" t="s">
        <v>214</v>
      </c>
      <c r="CS26" t="s">
        <v>728</v>
      </c>
      <c r="CT26" t="s">
        <v>177</v>
      </c>
      <c r="CU26" t="s">
        <v>202</v>
      </c>
      <c r="CV26" t="s">
        <v>586</v>
      </c>
      <c r="CW26" t="s">
        <v>210</v>
      </c>
      <c r="CX26" t="s">
        <v>214</v>
      </c>
      <c r="CY26" t="s">
        <v>734</v>
      </c>
      <c r="CZ26" t="s">
        <v>281</v>
      </c>
      <c r="DA26" t="s">
        <v>213</v>
      </c>
      <c r="DB26" t="s">
        <v>183</v>
      </c>
      <c r="DC26" t="s">
        <v>207</v>
      </c>
      <c r="DD26" t="s">
        <v>213</v>
      </c>
      <c r="DE26" t="s">
        <v>183</v>
      </c>
      <c r="DF26" t="s">
        <v>174</v>
      </c>
      <c r="DG26" t="s">
        <v>202</v>
      </c>
      <c r="DH26" t="s">
        <v>183</v>
      </c>
      <c r="FH26" t="s">
        <v>835</v>
      </c>
    </row>
    <row r="27" spans="1:164" x14ac:dyDescent="0.25">
      <c r="A27">
        <v>4</v>
      </c>
      <c r="B27" t="s">
        <v>164</v>
      </c>
      <c r="C27">
        <v>46</v>
      </c>
      <c r="D27">
        <v>4601</v>
      </c>
      <c r="E27">
        <v>974738120</v>
      </c>
      <c r="F27" t="s">
        <v>165</v>
      </c>
      <c r="G27" t="s">
        <v>166</v>
      </c>
      <c r="H27" t="s">
        <v>167</v>
      </c>
      <c r="I27" t="s">
        <v>836</v>
      </c>
      <c r="J27" t="e">
        <f>TRIM(#REF!)</f>
        <v>#REF!</v>
      </c>
      <c r="K27" t="e">
        <f>#REF!&amp;#REF!&amp;#REF!</f>
        <v>#REF!</v>
      </c>
      <c r="L27" t="str">
        <f>IFERROR(VLOOKUP(#REF!,工作表1!E:I,2,FALSE),"")</f>
        <v/>
      </c>
      <c r="M27" t="str">
        <f>IFERROR(VLOOKUP(#REF!,工作表1!E:I,3,FALSE),"")</f>
        <v/>
      </c>
      <c r="N27" t="str">
        <f>IFERROR(VLOOKUP(#REF!,工作表1!E:I,4,FALSE),"")</f>
        <v/>
      </c>
      <c r="O27" t="str">
        <f>IFERROR(VLOOKUP(#REF!,工作表1!E:I,5,FALSE),"")</f>
        <v/>
      </c>
      <c r="P27" t="s">
        <v>837</v>
      </c>
      <c r="Q27" t="s">
        <v>502</v>
      </c>
      <c r="R27" t="s">
        <v>170</v>
      </c>
      <c r="T27" t="s">
        <v>430</v>
      </c>
      <c r="U27" t="s">
        <v>502</v>
      </c>
      <c r="V27" t="s">
        <v>580</v>
      </c>
      <c r="X27" t="s">
        <v>507</v>
      </c>
      <c r="Y27" t="s">
        <v>530</v>
      </c>
      <c r="Z27" t="s">
        <v>476</v>
      </c>
      <c r="AB27" t="s">
        <v>172</v>
      </c>
      <c r="AC27" t="s">
        <v>480</v>
      </c>
      <c r="AD27" t="s">
        <v>519</v>
      </c>
      <c r="AF27" t="s">
        <v>838</v>
      </c>
      <c r="AG27" t="s">
        <v>170</v>
      </c>
      <c r="AH27" t="s">
        <v>533</v>
      </c>
      <c r="AJ27" t="s">
        <v>612</v>
      </c>
      <c r="AK27" t="s">
        <v>703</v>
      </c>
      <c r="AL27" t="s">
        <v>787</v>
      </c>
      <c r="AM27" t="s">
        <v>630</v>
      </c>
      <c r="AN27" t="s">
        <v>176</v>
      </c>
      <c r="AO27" t="s">
        <v>484</v>
      </c>
      <c r="AP27" t="s">
        <v>184</v>
      </c>
      <c r="AQ27" t="s">
        <v>208</v>
      </c>
      <c r="AR27" t="s">
        <v>489</v>
      </c>
      <c r="AS27" t="s">
        <v>192</v>
      </c>
      <c r="AT27" t="s">
        <v>184</v>
      </c>
      <c r="AU27" t="s">
        <v>800</v>
      </c>
      <c r="AV27" t="s">
        <v>182</v>
      </c>
      <c r="AW27" t="s">
        <v>485</v>
      </c>
      <c r="AX27" t="s">
        <v>625</v>
      </c>
      <c r="AY27" t="s">
        <v>266</v>
      </c>
      <c r="AZ27" t="s">
        <v>612</v>
      </c>
      <c r="BA27" t="s">
        <v>200</v>
      </c>
      <c r="BB27" t="s">
        <v>795</v>
      </c>
      <c r="BC27" t="s">
        <v>522</v>
      </c>
      <c r="BD27">
        <v>1320</v>
      </c>
      <c r="BE27">
        <v>1226</v>
      </c>
      <c r="BF27">
        <v>1341</v>
      </c>
      <c r="BG27">
        <v>1562</v>
      </c>
      <c r="BH27">
        <v>1652</v>
      </c>
      <c r="BY27" t="s">
        <v>174</v>
      </c>
      <c r="BZ27" t="s">
        <v>214</v>
      </c>
      <c r="CA27" t="s">
        <v>496</v>
      </c>
      <c r="CB27" t="s">
        <v>205</v>
      </c>
      <c r="CC27" t="s">
        <v>644</v>
      </c>
      <c r="CD27" t="s">
        <v>205</v>
      </c>
      <c r="CE27" t="s">
        <v>201</v>
      </c>
      <c r="CF27" t="s">
        <v>213</v>
      </c>
      <c r="CG27" t="s">
        <v>174</v>
      </c>
      <c r="CH27" t="s">
        <v>207</v>
      </c>
      <c r="CI27" t="s">
        <v>204</v>
      </c>
      <c r="CJ27" t="s">
        <v>201</v>
      </c>
      <c r="CK27" t="s">
        <v>216</v>
      </c>
      <c r="CL27" t="s">
        <v>213</v>
      </c>
      <c r="CM27" t="s">
        <v>201</v>
      </c>
      <c r="CN27" t="s">
        <v>177</v>
      </c>
      <c r="CO27" t="s">
        <v>214</v>
      </c>
      <c r="CP27" t="s">
        <v>201</v>
      </c>
      <c r="CQ27" t="s">
        <v>281</v>
      </c>
      <c r="CR27" t="s">
        <v>206</v>
      </c>
      <c r="CS27" t="s">
        <v>191</v>
      </c>
      <c r="CT27" t="s">
        <v>216</v>
      </c>
      <c r="CU27" t="s">
        <v>202</v>
      </c>
      <c r="CV27" t="s">
        <v>595</v>
      </c>
      <c r="CW27" t="s">
        <v>207</v>
      </c>
      <c r="CX27" t="s">
        <v>629</v>
      </c>
      <c r="CY27" t="s">
        <v>595</v>
      </c>
      <c r="CZ27" t="s">
        <v>207</v>
      </c>
      <c r="DA27" t="s">
        <v>557</v>
      </c>
      <c r="DB27" t="s">
        <v>217</v>
      </c>
      <c r="DC27" t="s">
        <v>210</v>
      </c>
      <c r="DD27" t="s">
        <v>497</v>
      </c>
      <c r="DE27" t="s">
        <v>216</v>
      </c>
      <c r="DF27" t="s">
        <v>177</v>
      </c>
      <c r="DG27" t="s">
        <v>486</v>
      </c>
      <c r="DH27" t="s">
        <v>217</v>
      </c>
      <c r="FH27" t="s">
        <v>839</v>
      </c>
    </row>
    <row r="28" spans="1:164" x14ac:dyDescent="0.25">
      <c r="A28">
        <v>4</v>
      </c>
      <c r="B28" t="s">
        <v>164</v>
      </c>
      <c r="C28">
        <v>46</v>
      </c>
      <c r="D28">
        <v>4601</v>
      </c>
      <c r="E28">
        <v>974738473</v>
      </c>
      <c r="F28" t="s">
        <v>165</v>
      </c>
      <c r="G28" t="s">
        <v>166</v>
      </c>
      <c r="H28" t="s">
        <v>167</v>
      </c>
      <c r="I28" t="s">
        <v>840</v>
      </c>
      <c r="J28" t="e">
        <f>TRIM(#REF!)</f>
        <v>#REF!</v>
      </c>
      <c r="K28" t="e">
        <f>#REF!&amp;#REF!&amp;#REF!</f>
        <v>#REF!</v>
      </c>
      <c r="L28" t="str">
        <f>IFERROR(VLOOKUP(#REF!,工作表1!E:I,2,FALSE),"")</f>
        <v/>
      </c>
      <c r="M28" t="str">
        <f>IFERROR(VLOOKUP(#REF!,工作表1!E:I,3,FALSE),"")</f>
        <v/>
      </c>
      <c r="N28" t="str">
        <f>IFERROR(VLOOKUP(#REF!,工作表1!E:I,4,FALSE),"")</f>
        <v/>
      </c>
      <c r="O28" t="str">
        <f>IFERROR(VLOOKUP(#REF!,工作表1!E:I,5,FALSE),"")</f>
        <v/>
      </c>
      <c r="P28" t="s">
        <v>841</v>
      </c>
      <c r="Q28" t="s">
        <v>508</v>
      </c>
      <c r="R28" t="s">
        <v>604</v>
      </c>
      <c r="T28" t="s">
        <v>842</v>
      </c>
      <c r="U28" t="s">
        <v>608</v>
      </c>
      <c r="V28" t="s">
        <v>604</v>
      </c>
      <c r="X28" t="s">
        <v>843</v>
      </c>
      <c r="Y28" t="s">
        <v>580</v>
      </c>
      <c r="Z28" t="s">
        <v>508</v>
      </c>
      <c r="AB28" t="s">
        <v>844</v>
      </c>
      <c r="AC28" t="s">
        <v>608</v>
      </c>
      <c r="AD28" t="s">
        <v>530</v>
      </c>
      <c r="AF28" t="s">
        <v>845</v>
      </c>
      <c r="AG28" t="s">
        <v>608</v>
      </c>
      <c r="AH28" t="s">
        <v>481</v>
      </c>
      <c r="AJ28" t="s">
        <v>212</v>
      </c>
      <c r="AK28" t="s">
        <v>846</v>
      </c>
      <c r="AL28" t="s">
        <v>847</v>
      </c>
      <c r="AM28" t="s">
        <v>558</v>
      </c>
      <c r="AN28" t="s">
        <v>212</v>
      </c>
      <c r="AO28" t="s">
        <v>848</v>
      </c>
      <c r="AP28" t="s">
        <v>759</v>
      </c>
      <c r="AQ28" t="s">
        <v>629</v>
      </c>
      <c r="AR28" t="s">
        <v>215</v>
      </c>
      <c r="AS28" t="s">
        <v>849</v>
      </c>
      <c r="AT28" t="s">
        <v>850</v>
      </c>
      <c r="AU28" t="s">
        <v>629</v>
      </c>
      <c r="AV28" t="s">
        <v>523</v>
      </c>
      <c r="AW28" t="s">
        <v>851</v>
      </c>
      <c r="AX28" t="s">
        <v>596</v>
      </c>
      <c r="AY28" t="s">
        <v>494</v>
      </c>
      <c r="AZ28" t="s">
        <v>171</v>
      </c>
      <c r="BA28" t="s">
        <v>852</v>
      </c>
      <c r="BB28" t="s">
        <v>853</v>
      </c>
      <c r="BC28" t="s">
        <v>557</v>
      </c>
      <c r="BD28">
        <v>1877</v>
      </c>
      <c r="BE28">
        <v>1975</v>
      </c>
      <c r="BF28">
        <v>2026</v>
      </c>
      <c r="BG28">
        <v>1879</v>
      </c>
      <c r="BH28">
        <v>1991</v>
      </c>
      <c r="BI28" t="s">
        <v>349</v>
      </c>
      <c r="BJ28" t="s">
        <v>350</v>
      </c>
      <c r="BK28" t="s">
        <v>186</v>
      </c>
      <c r="BL28" t="s">
        <v>533</v>
      </c>
      <c r="BM28" t="s">
        <v>631</v>
      </c>
      <c r="BN28" t="s">
        <v>612</v>
      </c>
      <c r="BO28" t="s">
        <v>721</v>
      </c>
      <c r="BP28" t="s">
        <v>529</v>
      </c>
      <c r="BQ28" t="s">
        <v>598</v>
      </c>
      <c r="BR28" t="s">
        <v>170</v>
      </c>
      <c r="BS28" t="s">
        <v>854</v>
      </c>
      <c r="BT28" t="s">
        <v>855</v>
      </c>
      <c r="BU28" t="s">
        <v>856</v>
      </c>
      <c r="BV28" t="s">
        <v>857</v>
      </c>
      <c r="BW28" t="s">
        <v>823</v>
      </c>
      <c r="BX28" t="s">
        <v>858</v>
      </c>
      <c r="DI28" t="s">
        <v>177</v>
      </c>
      <c r="DJ28" t="s">
        <v>560</v>
      </c>
      <c r="DK28" t="s">
        <v>559</v>
      </c>
      <c r="DN28" t="s">
        <v>556</v>
      </c>
      <c r="DQ28" t="s">
        <v>556</v>
      </c>
      <c r="DR28" t="s">
        <v>177</v>
      </c>
      <c r="DS28" t="s">
        <v>564</v>
      </c>
      <c r="DT28" t="s">
        <v>573</v>
      </c>
      <c r="DU28" t="s">
        <v>210</v>
      </c>
      <c r="DV28" t="s">
        <v>560</v>
      </c>
      <c r="DW28" t="s">
        <v>548</v>
      </c>
      <c r="DX28" t="s">
        <v>210</v>
      </c>
      <c r="DY28" t="s">
        <v>564</v>
      </c>
      <c r="DZ28" t="s">
        <v>561</v>
      </c>
      <c r="EA28" t="s">
        <v>207</v>
      </c>
      <c r="EB28" t="s">
        <v>669</v>
      </c>
      <c r="EC28" t="s">
        <v>859</v>
      </c>
      <c r="ED28" t="s">
        <v>525</v>
      </c>
      <c r="EE28" t="s">
        <v>558</v>
      </c>
      <c r="EF28" t="s">
        <v>860</v>
      </c>
      <c r="EG28" t="s">
        <v>217</v>
      </c>
      <c r="EH28" t="s">
        <v>558</v>
      </c>
      <c r="EI28" t="s">
        <v>861</v>
      </c>
      <c r="EJ28" t="s">
        <v>201</v>
      </c>
      <c r="EK28" t="s">
        <v>606</v>
      </c>
      <c r="EL28" t="s">
        <v>862</v>
      </c>
      <c r="EM28" t="s">
        <v>216</v>
      </c>
      <c r="EN28" t="s">
        <v>606</v>
      </c>
      <c r="EO28" t="s">
        <v>863</v>
      </c>
      <c r="EP28" t="s">
        <v>177</v>
      </c>
      <c r="EQ28" t="s">
        <v>562</v>
      </c>
      <c r="ER28" t="s">
        <v>575</v>
      </c>
      <c r="ES28" t="s">
        <v>389</v>
      </c>
      <c r="ET28" t="s">
        <v>306</v>
      </c>
      <c r="EU28" t="s">
        <v>864</v>
      </c>
      <c r="EV28" t="s">
        <v>300</v>
      </c>
      <c r="EW28" t="s">
        <v>300</v>
      </c>
      <c r="EX28" t="s">
        <v>561</v>
      </c>
      <c r="EY28">
        <v>130</v>
      </c>
      <c r="EZ28">
        <v>80</v>
      </c>
      <c r="FA28" t="s">
        <v>554</v>
      </c>
      <c r="FB28" t="s">
        <v>574</v>
      </c>
      <c r="FC28" t="s">
        <v>468</v>
      </c>
      <c r="FD28" t="s">
        <v>865</v>
      </c>
      <c r="FE28">
        <v>110</v>
      </c>
      <c r="FF28">
        <v>95</v>
      </c>
      <c r="FG28" t="s">
        <v>552</v>
      </c>
      <c r="FH28" t="s">
        <v>866</v>
      </c>
    </row>
    <row r="29" spans="1:164" x14ac:dyDescent="0.25">
      <c r="A29">
        <v>4</v>
      </c>
      <c r="B29" t="s">
        <v>164</v>
      </c>
      <c r="C29">
        <v>46</v>
      </c>
      <c r="D29">
        <v>4601</v>
      </c>
      <c r="E29">
        <v>974738015</v>
      </c>
      <c r="F29" t="s">
        <v>165</v>
      </c>
      <c r="G29" t="s">
        <v>166</v>
      </c>
      <c r="H29" t="s">
        <v>167</v>
      </c>
      <c r="I29" t="s">
        <v>867</v>
      </c>
      <c r="J29" t="e">
        <f>TRIM(#REF!)</f>
        <v>#REF!</v>
      </c>
      <c r="K29" t="e">
        <f>#REF!&amp;#REF!&amp;#REF!</f>
        <v>#REF!</v>
      </c>
      <c r="L29" t="str">
        <f>IFERROR(VLOOKUP(#REF!,工作表1!E:I,2,FALSE),"")</f>
        <v/>
      </c>
      <c r="M29" t="str">
        <f>IFERROR(VLOOKUP(#REF!,工作表1!E:I,3,FALSE),"")</f>
        <v/>
      </c>
      <c r="N29" t="str">
        <f>IFERROR(VLOOKUP(#REF!,工作表1!E:I,4,FALSE),"")</f>
        <v/>
      </c>
      <c r="O29" t="str">
        <f>IFERROR(VLOOKUP(#REF!,工作表1!E:I,5,FALSE),"")</f>
        <v/>
      </c>
      <c r="P29" t="s">
        <v>868</v>
      </c>
      <c r="Q29" t="s">
        <v>179</v>
      </c>
      <c r="R29" t="s">
        <v>504</v>
      </c>
      <c r="T29" t="s">
        <v>869</v>
      </c>
      <c r="U29" t="s">
        <v>187</v>
      </c>
      <c r="V29" t="s">
        <v>473</v>
      </c>
      <c r="X29" t="s">
        <v>870</v>
      </c>
      <c r="Y29" t="s">
        <v>182</v>
      </c>
      <c r="Z29" t="s">
        <v>504</v>
      </c>
      <c r="AB29" t="s">
        <v>871</v>
      </c>
      <c r="AC29" t="s">
        <v>474</v>
      </c>
      <c r="AD29" t="s">
        <v>580</v>
      </c>
      <c r="AF29" t="s">
        <v>872</v>
      </c>
      <c r="AG29" t="s">
        <v>512</v>
      </c>
      <c r="AH29" t="s">
        <v>504</v>
      </c>
      <c r="AJ29" t="s">
        <v>600</v>
      </c>
      <c r="AK29" t="s">
        <v>873</v>
      </c>
      <c r="AL29" t="s">
        <v>725</v>
      </c>
      <c r="AM29" t="s">
        <v>644</v>
      </c>
      <c r="AN29" t="s">
        <v>582</v>
      </c>
      <c r="AO29" t="s">
        <v>874</v>
      </c>
      <c r="AP29" t="s">
        <v>875</v>
      </c>
      <c r="AQ29" t="s">
        <v>644</v>
      </c>
      <c r="AR29" t="s">
        <v>180</v>
      </c>
      <c r="AS29" t="s">
        <v>876</v>
      </c>
      <c r="AT29" t="s">
        <v>877</v>
      </c>
      <c r="AU29" t="s">
        <v>190</v>
      </c>
      <c r="AV29" t="s">
        <v>496</v>
      </c>
      <c r="AW29" t="s">
        <v>878</v>
      </c>
      <c r="AX29" t="s">
        <v>830</v>
      </c>
      <c r="AY29" t="s">
        <v>351</v>
      </c>
      <c r="AZ29" t="s">
        <v>205</v>
      </c>
      <c r="BA29" t="s">
        <v>879</v>
      </c>
      <c r="BB29" t="s">
        <v>880</v>
      </c>
      <c r="BC29" t="s">
        <v>204</v>
      </c>
      <c r="BD29">
        <v>2000</v>
      </c>
      <c r="BE29">
        <v>1981</v>
      </c>
      <c r="BF29">
        <v>1991</v>
      </c>
      <c r="BG29">
        <v>2000</v>
      </c>
      <c r="BH29">
        <v>1886</v>
      </c>
      <c r="BI29" t="s">
        <v>349</v>
      </c>
      <c r="BJ29" t="s">
        <v>350</v>
      </c>
      <c r="BK29" t="s">
        <v>263</v>
      </c>
      <c r="BL29" t="s">
        <v>524</v>
      </c>
      <c r="BM29" t="s">
        <v>351</v>
      </c>
      <c r="BN29" t="s">
        <v>195</v>
      </c>
      <c r="BO29" t="s">
        <v>186</v>
      </c>
      <c r="BP29" t="s">
        <v>195</v>
      </c>
      <c r="BQ29" t="s">
        <v>266</v>
      </c>
      <c r="BR29" t="s">
        <v>512</v>
      </c>
      <c r="BS29" t="s">
        <v>810</v>
      </c>
      <c r="BT29" t="s">
        <v>881</v>
      </c>
      <c r="BU29" t="s">
        <v>882</v>
      </c>
      <c r="BV29" t="s">
        <v>883</v>
      </c>
      <c r="BW29" t="s">
        <v>884</v>
      </c>
      <c r="BX29" t="s">
        <v>610</v>
      </c>
      <c r="DK29" t="s">
        <v>556</v>
      </c>
      <c r="DN29" t="s">
        <v>556</v>
      </c>
      <c r="DQ29" t="s">
        <v>556</v>
      </c>
      <c r="DR29" t="s">
        <v>281</v>
      </c>
      <c r="DS29" t="s">
        <v>564</v>
      </c>
      <c r="DT29" t="s">
        <v>885</v>
      </c>
      <c r="DU29" t="s">
        <v>177</v>
      </c>
      <c r="DV29" t="s">
        <v>562</v>
      </c>
      <c r="DW29" t="s">
        <v>886</v>
      </c>
      <c r="DX29" t="s">
        <v>177</v>
      </c>
      <c r="DY29" t="s">
        <v>564</v>
      </c>
      <c r="DZ29" t="s">
        <v>886</v>
      </c>
      <c r="EA29" t="s">
        <v>201</v>
      </c>
      <c r="EB29" t="s">
        <v>562</v>
      </c>
      <c r="EC29" t="s">
        <v>887</v>
      </c>
      <c r="ED29" t="s">
        <v>207</v>
      </c>
      <c r="EE29" t="s">
        <v>562</v>
      </c>
      <c r="EF29" t="s">
        <v>888</v>
      </c>
      <c r="EG29" t="s">
        <v>281</v>
      </c>
      <c r="EH29" t="s">
        <v>560</v>
      </c>
      <c r="EI29" t="s">
        <v>887</v>
      </c>
      <c r="EJ29" t="s">
        <v>174</v>
      </c>
      <c r="EK29" t="s">
        <v>606</v>
      </c>
      <c r="EL29" t="s">
        <v>611</v>
      </c>
      <c r="EM29" t="s">
        <v>281</v>
      </c>
      <c r="EN29" t="s">
        <v>564</v>
      </c>
      <c r="EO29" t="s">
        <v>889</v>
      </c>
      <c r="EP29" t="s">
        <v>207</v>
      </c>
      <c r="EQ29" t="s">
        <v>562</v>
      </c>
      <c r="ER29" t="s">
        <v>890</v>
      </c>
      <c r="ES29" t="s">
        <v>731</v>
      </c>
      <c r="ET29" t="s">
        <v>211</v>
      </c>
      <c r="EU29" t="s">
        <v>863</v>
      </c>
      <c r="EV29" t="s">
        <v>300</v>
      </c>
      <c r="EW29" t="s">
        <v>389</v>
      </c>
      <c r="EX29" t="s">
        <v>865</v>
      </c>
      <c r="EY29">
        <v>0</v>
      </c>
      <c r="EZ29">
        <v>80</v>
      </c>
      <c r="FA29" t="s">
        <v>891</v>
      </c>
      <c r="FB29" t="s">
        <v>301</v>
      </c>
      <c r="FC29" t="s">
        <v>574</v>
      </c>
      <c r="FD29" t="s">
        <v>708</v>
      </c>
      <c r="FE29">
        <v>75</v>
      </c>
      <c r="FF29">
        <v>110</v>
      </c>
      <c r="FG29" t="s">
        <v>892</v>
      </c>
      <c r="FH29" t="s">
        <v>893</v>
      </c>
    </row>
    <row r="30" spans="1:164" x14ac:dyDescent="0.25">
      <c r="A30">
        <v>4</v>
      </c>
      <c r="B30" t="s">
        <v>164</v>
      </c>
      <c r="C30">
        <v>46</v>
      </c>
      <c r="D30">
        <v>4601</v>
      </c>
      <c r="E30">
        <v>974738066</v>
      </c>
      <c r="F30" t="s">
        <v>165</v>
      </c>
      <c r="G30" t="s">
        <v>166</v>
      </c>
      <c r="H30" t="s">
        <v>167</v>
      </c>
      <c r="I30" t="s">
        <v>894</v>
      </c>
      <c r="J30" t="e">
        <f>TRIM(#REF!)</f>
        <v>#REF!</v>
      </c>
      <c r="K30" t="e">
        <f>#REF!&amp;#REF!&amp;#REF!</f>
        <v>#REF!</v>
      </c>
      <c r="L30" t="str">
        <f>IFERROR(VLOOKUP(#REF!,工作表1!E:I,2,FALSE),"")</f>
        <v/>
      </c>
      <c r="M30" t="str">
        <f>IFERROR(VLOOKUP(#REF!,工作表1!E:I,3,FALSE),"")</f>
        <v/>
      </c>
      <c r="N30" t="str">
        <f>IFERROR(VLOOKUP(#REF!,工作表1!E:I,4,FALSE),"")</f>
        <v/>
      </c>
      <c r="O30" t="str">
        <f>IFERROR(VLOOKUP(#REF!,工作表1!E:I,5,FALSE),"")</f>
        <v/>
      </c>
      <c r="P30" t="s">
        <v>895</v>
      </c>
      <c r="Q30" t="s">
        <v>476</v>
      </c>
      <c r="R30" t="s">
        <v>523</v>
      </c>
      <c r="T30" t="s">
        <v>896</v>
      </c>
      <c r="U30" t="s">
        <v>581</v>
      </c>
      <c r="V30" t="s">
        <v>209</v>
      </c>
      <c r="X30" t="s">
        <v>897</v>
      </c>
      <c r="Y30" t="s">
        <v>501</v>
      </c>
      <c r="Z30" t="s">
        <v>496</v>
      </c>
      <c r="AB30" t="s">
        <v>898</v>
      </c>
      <c r="AC30" t="s">
        <v>529</v>
      </c>
      <c r="AD30" t="s">
        <v>207</v>
      </c>
      <c r="AF30" t="s">
        <v>706</v>
      </c>
      <c r="AG30" t="s">
        <v>519</v>
      </c>
      <c r="AH30" t="s">
        <v>207</v>
      </c>
      <c r="AJ30" t="s">
        <v>529</v>
      </c>
      <c r="AK30" t="s">
        <v>805</v>
      </c>
      <c r="AL30" t="s">
        <v>718</v>
      </c>
      <c r="AM30" t="s">
        <v>208</v>
      </c>
      <c r="AN30" t="s">
        <v>170</v>
      </c>
      <c r="AO30" t="s">
        <v>899</v>
      </c>
      <c r="AP30" t="s">
        <v>900</v>
      </c>
      <c r="AQ30" t="s">
        <v>204</v>
      </c>
      <c r="AR30" t="s">
        <v>473</v>
      </c>
      <c r="AS30" t="s">
        <v>770</v>
      </c>
      <c r="AT30" t="s">
        <v>901</v>
      </c>
      <c r="AU30" t="s">
        <v>204</v>
      </c>
      <c r="AV30" t="s">
        <v>173</v>
      </c>
      <c r="AW30" t="s">
        <v>902</v>
      </c>
      <c r="AX30" t="s">
        <v>903</v>
      </c>
      <c r="AY30" t="s">
        <v>644</v>
      </c>
      <c r="AZ30" t="s">
        <v>512</v>
      </c>
      <c r="BA30" t="s">
        <v>904</v>
      </c>
      <c r="BB30" t="s">
        <v>805</v>
      </c>
      <c r="BC30" t="s">
        <v>204</v>
      </c>
      <c r="BD30">
        <v>1626</v>
      </c>
      <c r="BE30">
        <v>1564</v>
      </c>
      <c r="BF30">
        <v>1617</v>
      </c>
      <c r="BG30">
        <v>1525</v>
      </c>
      <c r="BH30">
        <v>1471</v>
      </c>
      <c r="BY30" t="s">
        <v>205</v>
      </c>
      <c r="BZ30" t="s">
        <v>522</v>
      </c>
      <c r="CA30" t="s">
        <v>529</v>
      </c>
      <c r="CB30" t="s">
        <v>210</v>
      </c>
      <c r="CC30" t="s">
        <v>351</v>
      </c>
      <c r="CD30" t="s">
        <v>473</v>
      </c>
      <c r="CE30" t="s">
        <v>174</v>
      </c>
      <c r="CF30" t="s">
        <v>211</v>
      </c>
      <c r="CG30" t="s">
        <v>529</v>
      </c>
      <c r="CH30" t="s">
        <v>216</v>
      </c>
      <c r="CI30" t="s">
        <v>211</v>
      </c>
      <c r="CJ30" t="s">
        <v>593</v>
      </c>
      <c r="CK30" t="s">
        <v>177</v>
      </c>
      <c r="CL30" t="s">
        <v>494</v>
      </c>
      <c r="CM30" t="s">
        <v>191</v>
      </c>
      <c r="CN30" t="s">
        <v>210</v>
      </c>
      <c r="CO30" t="s">
        <v>557</v>
      </c>
      <c r="CP30" t="s">
        <v>489</v>
      </c>
      <c r="CQ30" t="s">
        <v>210</v>
      </c>
      <c r="CR30" t="s">
        <v>598</v>
      </c>
      <c r="CS30" t="s">
        <v>474</v>
      </c>
      <c r="CT30" t="s">
        <v>210</v>
      </c>
      <c r="CU30" t="s">
        <v>630</v>
      </c>
      <c r="CV30" t="s">
        <v>173</v>
      </c>
      <c r="CW30" t="s">
        <v>281</v>
      </c>
      <c r="CX30" t="s">
        <v>626</v>
      </c>
      <c r="CY30" t="s">
        <v>474</v>
      </c>
      <c r="CZ30" t="s">
        <v>174</v>
      </c>
      <c r="DA30" t="s">
        <v>198</v>
      </c>
      <c r="DB30" t="s">
        <v>182</v>
      </c>
      <c r="DC30" t="s">
        <v>174</v>
      </c>
      <c r="DD30" t="s">
        <v>557</v>
      </c>
      <c r="DE30" t="s">
        <v>182</v>
      </c>
      <c r="DF30" t="s">
        <v>174</v>
      </c>
      <c r="DG30" t="s">
        <v>266</v>
      </c>
      <c r="DH30" t="s">
        <v>182</v>
      </c>
      <c r="FH30" t="s">
        <v>905</v>
      </c>
    </row>
    <row r="31" spans="1:164" x14ac:dyDescent="0.25">
      <c r="A31">
        <v>4</v>
      </c>
      <c r="B31" t="s">
        <v>164</v>
      </c>
      <c r="C31">
        <v>46</v>
      </c>
      <c r="D31">
        <v>4601</v>
      </c>
      <c r="E31">
        <v>974738562</v>
      </c>
      <c r="F31" t="s">
        <v>165</v>
      </c>
      <c r="G31" t="s">
        <v>166</v>
      </c>
      <c r="H31" t="s">
        <v>167</v>
      </c>
      <c r="I31" t="s">
        <v>906</v>
      </c>
      <c r="J31" t="e">
        <f>TRIM(#REF!)</f>
        <v>#REF!</v>
      </c>
      <c r="K31" t="e">
        <f>#REF!&amp;#REF!&amp;#REF!</f>
        <v>#REF!</v>
      </c>
      <c r="L31" t="str">
        <f>IFERROR(VLOOKUP(#REF!,工作表1!E:I,2,FALSE),"")</f>
        <v/>
      </c>
      <c r="M31" t="str">
        <f>IFERROR(VLOOKUP(#REF!,工作表1!E:I,3,FALSE),"")</f>
        <v/>
      </c>
      <c r="N31" t="str">
        <f>IFERROR(VLOOKUP(#REF!,工作表1!E:I,4,FALSE),"")</f>
        <v/>
      </c>
      <c r="O31" t="str">
        <f>IFERROR(VLOOKUP(#REF!,工作表1!E:I,5,FALSE),"")</f>
        <v/>
      </c>
      <c r="P31" t="s">
        <v>907</v>
      </c>
      <c r="Q31" t="s">
        <v>512</v>
      </c>
      <c r="R31" t="s">
        <v>608</v>
      </c>
      <c r="T31" t="s">
        <v>908</v>
      </c>
      <c r="U31" t="s">
        <v>480</v>
      </c>
      <c r="V31" t="s">
        <v>505</v>
      </c>
      <c r="X31" t="s">
        <v>909</v>
      </c>
      <c r="Y31" t="s">
        <v>473</v>
      </c>
      <c r="Z31" t="s">
        <v>504</v>
      </c>
      <c r="AB31" t="s">
        <v>910</v>
      </c>
      <c r="AC31" t="s">
        <v>581</v>
      </c>
      <c r="AD31" t="s">
        <v>505</v>
      </c>
      <c r="AF31" t="s">
        <v>911</v>
      </c>
      <c r="AG31" t="s">
        <v>508</v>
      </c>
      <c r="AH31" t="s">
        <v>504</v>
      </c>
      <c r="AJ31" t="s">
        <v>593</v>
      </c>
      <c r="AK31" t="s">
        <v>761</v>
      </c>
      <c r="AL31" t="s">
        <v>592</v>
      </c>
      <c r="AM31" t="s">
        <v>351</v>
      </c>
      <c r="AN31" t="s">
        <v>195</v>
      </c>
      <c r="AO31" t="s">
        <v>912</v>
      </c>
      <c r="AP31" t="s">
        <v>758</v>
      </c>
      <c r="AQ31" t="s">
        <v>598</v>
      </c>
      <c r="AR31" t="s">
        <v>187</v>
      </c>
      <c r="AS31" t="s">
        <v>484</v>
      </c>
      <c r="AT31" t="s">
        <v>913</v>
      </c>
      <c r="AU31" t="s">
        <v>351</v>
      </c>
      <c r="AV31" t="s">
        <v>489</v>
      </c>
      <c r="AW31" t="s">
        <v>488</v>
      </c>
      <c r="AX31" t="s">
        <v>914</v>
      </c>
      <c r="AY31" t="s">
        <v>186</v>
      </c>
      <c r="AZ31" t="s">
        <v>489</v>
      </c>
      <c r="BA31" t="s">
        <v>915</v>
      </c>
      <c r="BB31" t="s">
        <v>801</v>
      </c>
      <c r="BC31" t="s">
        <v>630</v>
      </c>
      <c r="BD31">
        <v>1518</v>
      </c>
      <c r="BE31">
        <v>1601</v>
      </c>
      <c r="BF31">
        <v>1558</v>
      </c>
      <c r="BG31">
        <v>1679</v>
      </c>
      <c r="BH31">
        <v>1638</v>
      </c>
      <c r="BY31" t="s">
        <v>174</v>
      </c>
      <c r="BZ31" t="s">
        <v>214</v>
      </c>
      <c r="CA31" t="s">
        <v>523</v>
      </c>
      <c r="CB31" t="s">
        <v>281</v>
      </c>
      <c r="CC31" t="s">
        <v>494</v>
      </c>
      <c r="CD31" t="s">
        <v>203</v>
      </c>
      <c r="CE31" t="s">
        <v>177</v>
      </c>
      <c r="CF31" t="s">
        <v>206</v>
      </c>
      <c r="CG31" t="s">
        <v>595</v>
      </c>
      <c r="CH31" t="s">
        <v>177</v>
      </c>
      <c r="CI31" t="s">
        <v>213</v>
      </c>
      <c r="CJ31" t="s">
        <v>600</v>
      </c>
      <c r="CK31" t="s">
        <v>177</v>
      </c>
      <c r="CL31" t="s">
        <v>494</v>
      </c>
      <c r="CM31" t="s">
        <v>582</v>
      </c>
      <c r="CN31" t="s">
        <v>281</v>
      </c>
      <c r="CO31" t="s">
        <v>213</v>
      </c>
      <c r="CP31" t="s">
        <v>600</v>
      </c>
      <c r="CQ31" t="s">
        <v>216</v>
      </c>
      <c r="CR31" t="s">
        <v>213</v>
      </c>
      <c r="CS31" t="s">
        <v>201</v>
      </c>
      <c r="CT31" t="s">
        <v>210</v>
      </c>
      <c r="CU31" t="s">
        <v>566</v>
      </c>
      <c r="CV31" t="s">
        <v>201</v>
      </c>
      <c r="CW31" t="s">
        <v>215</v>
      </c>
      <c r="CX31" t="s">
        <v>213</v>
      </c>
      <c r="CY31" t="s">
        <v>201</v>
      </c>
      <c r="CZ31" t="s">
        <v>281</v>
      </c>
      <c r="DA31" t="s">
        <v>301</v>
      </c>
      <c r="DB31" t="s">
        <v>727</v>
      </c>
      <c r="DC31" t="s">
        <v>174</v>
      </c>
      <c r="DD31" t="s">
        <v>301</v>
      </c>
      <c r="DE31" t="s">
        <v>727</v>
      </c>
      <c r="DF31" t="s">
        <v>216</v>
      </c>
      <c r="DG31" t="s">
        <v>669</v>
      </c>
      <c r="DH31" t="s">
        <v>727</v>
      </c>
      <c r="FH31" t="s">
        <v>916</v>
      </c>
    </row>
    <row r="32" spans="1:164" x14ac:dyDescent="0.25">
      <c r="A32">
        <v>4</v>
      </c>
      <c r="B32" t="s">
        <v>164</v>
      </c>
      <c r="C32">
        <v>46</v>
      </c>
      <c r="D32">
        <v>4601</v>
      </c>
      <c r="E32">
        <v>974737930</v>
      </c>
      <c r="F32" t="s">
        <v>165</v>
      </c>
      <c r="G32" t="s">
        <v>166</v>
      </c>
      <c r="H32" t="s">
        <v>167</v>
      </c>
      <c r="I32" t="s">
        <v>917</v>
      </c>
      <c r="J32" t="e">
        <f>TRIM(#REF!)</f>
        <v>#REF!</v>
      </c>
      <c r="K32" t="e">
        <f>#REF!&amp;#REF!&amp;#REF!</f>
        <v>#REF!</v>
      </c>
      <c r="L32" t="str">
        <f>IFERROR(VLOOKUP(#REF!,工作表1!E:I,2,FALSE),"")</f>
        <v/>
      </c>
      <c r="M32" t="str">
        <f>IFERROR(VLOOKUP(#REF!,工作表1!E:I,3,FALSE),"")</f>
        <v/>
      </c>
      <c r="N32" t="str">
        <f>IFERROR(VLOOKUP(#REF!,工作表1!E:I,4,FALSE),"")</f>
        <v/>
      </c>
      <c r="O32" t="str">
        <f>IFERROR(VLOOKUP(#REF!,工作表1!E:I,5,FALSE),"")</f>
        <v/>
      </c>
      <c r="P32" t="s">
        <v>918</v>
      </c>
      <c r="Q32" t="s">
        <v>502</v>
      </c>
      <c r="R32" t="s">
        <v>604</v>
      </c>
      <c r="T32" t="s">
        <v>919</v>
      </c>
      <c r="U32" t="s">
        <v>502</v>
      </c>
      <c r="V32" t="s">
        <v>604</v>
      </c>
      <c r="X32" t="s">
        <v>920</v>
      </c>
      <c r="Y32" t="s">
        <v>505</v>
      </c>
      <c r="Z32" t="s">
        <v>481</v>
      </c>
      <c r="AB32" t="s">
        <v>324</v>
      </c>
      <c r="AC32" t="s">
        <v>480</v>
      </c>
      <c r="AD32" t="s">
        <v>530</v>
      </c>
      <c r="AF32" t="s">
        <v>921</v>
      </c>
      <c r="AG32" t="s">
        <v>608</v>
      </c>
      <c r="AH32" t="s">
        <v>530</v>
      </c>
      <c r="AJ32" t="s">
        <v>176</v>
      </c>
      <c r="AK32" t="s">
        <v>490</v>
      </c>
      <c r="AL32" t="s">
        <v>517</v>
      </c>
      <c r="AM32" t="s">
        <v>494</v>
      </c>
      <c r="AN32" t="s">
        <v>176</v>
      </c>
      <c r="AO32" t="s">
        <v>796</v>
      </c>
      <c r="AP32" t="s">
        <v>914</v>
      </c>
      <c r="AQ32" t="s">
        <v>486</v>
      </c>
      <c r="AR32" t="s">
        <v>176</v>
      </c>
      <c r="AS32" t="s">
        <v>701</v>
      </c>
      <c r="AT32" t="s">
        <v>520</v>
      </c>
      <c r="AU32" t="s">
        <v>301</v>
      </c>
      <c r="AV32" t="s">
        <v>489</v>
      </c>
      <c r="AW32" t="s">
        <v>592</v>
      </c>
      <c r="AX32" t="s">
        <v>801</v>
      </c>
      <c r="AY32" t="s">
        <v>522</v>
      </c>
      <c r="AZ32" t="s">
        <v>612</v>
      </c>
      <c r="BA32" t="s">
        <v>624</v>
      </c>
      <c r="BB32" t="s">
        <v>670</v>
      </c>
      <c r="BC32" t="s">
        <v>494</v>
      </c>
      <c r="BD32">
        <v>1636</v>
      </c>
      <c r="BE32">
        <v>1603</v>
      </c>
      <c r="BF32">
        <v>1618</v>
      </c>
      <c r="BG32">
        <v>1658</v>
      </c>
      <c r="BH32">
        <v>1683</v>
      </c>
      <c r="BY32" t="s">
        <v>201</v>
      </c>
      <c r="BZ32" t="s">
        <v>497</v>
      </c>
      <c r="CA32" t="s">
        <v>726</v>
      </c>
      <c r="CB32" t="s">
        <v>496</v>
      </c>
      <c r="CC32" t="s">
        <v>497</v>
      </c>
      <c r="CD32" t="s">
        <v>726</v>
      </c>
      <c r="CE32" t="s">
        <v>183</v>
      </c>
      <c r="CF32" t="s">
        <v>495</v>
      </c>
      <c r="CG32" t="s">
        <v>726</v>
      </c>
      <c r="CH32" t="s">
        <v>201</v>
      </c>
      <c r="CI32" t="s">
        <v>211</v>
      </c>
      <c r="CJ32" t="s">
        <v>216</v>
      </c>
      <c r="CK32" t="s">
        <v>600</v>
      </c>
      <c r="CL32" t="s">
        <v>213</v>
      </c>
      <c r="CM32" t="s">
        <v>210</v>
      </c>
      <c r="CN32" t="s">
        <v>183</v>
      </c>
      <c r="CO32" t="s">
        <v>644</v>
      </c>
      <c r="CP32" t="s">
        <v>210</v>
      </c>
      <c r="CQ32" t="s">
        <v>205</v>
      </c>
      <c r="CR32" t="s">
        <v>202</v>
      </c>
      <c r="CS32" t="s">
        <v>212</v>
      </c>
      <c r="CT32" t="s">
        <v>183</v>
      </c>
      <c r="CU32" t="s">
        <v>301</v>
      </c>
      <c r="CV32" t="s">
        <v>209</v>
      </c>
      <c r="CW32" t="s">
        <v>600</v>
      </c>
      <c r="CX32" t="s">
        <v>214</v>
      </c>
      <c r="CY32" t="s">
        <v>209</v>
      </c>
      <c r="CZ32" t="s">
        <v>207</v>
      </c>
      <c r="DA32" t="s">
        <v>497</v>
      </c>
      <c r="DB32" t="s">
        <v>205</v>
      </c>
      <c r="DC32" t="s">
        <v>174</v>
      </c>
      <c r="DD32" t="s">
        <v>494</v>
      </c>
      <c r="DE32" t="s">
        <v>281</v>
      </c>
      <c r="DF32" t="s">
        <v>201</v>
      </c>
      <c r="DG32" t="s">
        <v>204</v>
      </c>
      <c r="DH32" t="s">
        <v>183</v>
      </c>
      <c r="FH32" t="s">
        <v>922</v>
      </c>
    </row>
    <row r="33" spans="1:164" x14ac:dyDescent="0.25">
      <c r="A33">
        <v>4</v>
      </c>
      <c r="B33" t="s">
        <v>164</v>
      </c>
      <c r="C33">
        <v>46</v>
      </c>
      <c r="D33">
        <v>4601</v>
      </c>
      <c r="E33">
        <v>974737892</v>
      </c>
      <c r="F33" t="s">
        <v>165</v>
      </c>
      <c r="G33" t="s">
        <v>166</v>
      </c>
      <c r="H33" t="s">
        <v>167</v>
      </c>
      <c r="I33" t="s">
        <v>923</v>
      </c>
      <c r="J33" t="e">
        <f>TRIM(#REF!)</f>
        <v>#REF!</v>
      </c>
      <c r="K33" t="e">
        <f>#REF!&amp;#REF!&amp;#REF!</f>
        <v>#REF!</v>
      </c>
      <c r="L33" t="str">
        <f>IFERROR(VLOOKUP(#REF!,工作表1!E:I,2,FALSE),"")</f>
        <v/>
      </c>
      <c r="M33" t="str">
        <f>IFERROR(VLOOKUP(#REF!,工作表1!E:I,3,FALSE),"")</f>
        <v/>
      </c>
      <c r="N33" t="str">
        <f>IFERROR(VLOOKUP(#REF!,工作表1!E:I,4,FALSE),"")</f>
        <v/>
      </c>
      <c r="O33" t="str">
        <f>IFERROR(VLOOKUP(#REF!,工作表1!E:I,5,FALSE),"")</f>
        <v/>
      </c>
      <c r="P33" t="s">
        <v>753</v>
      </c>
      <c r="Q33" t="s">
        <v>580</v>
      </c>
      <c r="R33" t="s">
        <v>476</v>
      </c>
      <c r="T33" t="s">
        <v>696</v>
      </c>
      <c r="U33" t="s">
        <v>480</v>
      </c>
      <c r="V33" t="s">
        <v>170</v>
      </c>
      <c r="X33" t="s">
        <v>924</v>
      </c>
      <c r="Y33" t="s">
        <v>580</v>
      </c>
      <c r="Z33" t="s">
        <v>191</v>
      </c>
      <c r="AB33" t="s">
        <v>925</v>
      </c>
      <c r="AC33" t="s">
        <v>473</v>
      </c>
      <c r="AD33" t="s">
        <v>524</v>
      </c>
      <c r="AF33" t="s">
        <v>579</v>
      </c>
      <c r="AG33" t="s">
        <v>529</v>
      </c>
      <c r="AH33" t="s">
        <v>195</v>
      </c>
      <c r="AJ33" t="s">
        <v>489</v>
      </c>
      <c r="AK33" t="s">
        <v>199</v>
      </c>
      <c r="AL33" t="s">
        <v>485</v>
      </c>
      <c r="AM33" t="s">
        <v>206</v>
      </c>
      <c r="AN33" t="s">
        <v>179</v>
      </c>
      <c r="AO33" t="s">
        <v>926</v>
      </c>
      <c r="AP33" t="s">
        <v>200</v>
      </c>
      <c r="AQ33" t="s">
        <v>644</v>
      </c>
      <c r="AR33" t="s">
        <v>489</v>
      </c>
      <c r="AS33" t="s">
        <v>783</v>
      </c>
      <c r="AT33" t="s">
        <v>491</v>
      </c>
      <c r="AU33" t="s">
        <v>637</v>
      </c>
      <c r="AV33" t="s">
        <v>195</v>
      </c>
      <c r="AW33" t="s">
        <v>927</v>
      </c>
      <c r="AX33" t="s">
        <v>928</v>
      </c>
      <c r="AY33" t="s">
        <v>929</v>
      </c>
      <c r="AZ33" t="s">
        <v>171</v>
      </c>
      <c r="BA33" t="s">
        <v>930</v>
      </c>
      <c r="BB33" t="s">
        <v>787</v>
      </c>
      <c r="BC33" t="s">
        <v>306</v>
      </c>
      <c r="BD33">
        <v>1668</v>
      </c>
      <c r="BE33">
        <v>1703</v>
      </c>
      <c r="BF33">
        <v>1618</v>
      </c>
      <c r="BG33">
        <v>1675</v>
      </c>
      <c r="BH33">
        <v>1609</v>
      </c>
      <c r="BY33" t="s">
        <v>174</v>
      </c>
      <c r="BZ33" t="s">
        <v>494</v>
      </c>
      <c r="CA33" t="s">
        <v>201</v>
      </c>
      <c r="CB33" t="s">
        <v>201</v>
      </c>
      <c r="CC33" t="s">
        <v>214</v>
      </c>
      <c r="CD33" t="s">
        <v>205</v>
      </c>
      <c r="CG33" t="s">
        <v>556</v>
      </c>
      <c r="CH33" t="s">
        <v>207</v>
      </c>
      <c r="CI33" t="s">
        <v>557</v>
      </c>
      <c r="CJ33" t="s">
        <v>525</v>
      </c>
      <c r="CK33" t="s">
        <v>207</v>
      </c>
      <c r="CL33" t="s">
        <v>202</v>
      </c>
      <c r="CM33" t="s">
        <v>525</v>
      </c>
      <c r="CN33" t="s">
        <v>216</v>
      </c>
      <c r="CO33" t="s">
        <v>211</v>
      </c>
      <c r="CP33" t="s">
        <v>209</v>
      </c>
      <c r="CQ33" t="s">
        <v>582</v>
      </c>
      <c r="CR33" t="s">
        <v>644</v>
      </c>
      <c r="CS33" t="s">
        <v>201</v>
      </c>
      <c r="CT33" t="s">
        <v>183</v>
      </c>
      <c r="CU33" t="s">
        <v>301</v>
      </c>
      <c r="CV33" t="s">
        <v>201</v>
      </c>
      <c r="CW33" t="s">
        <v>180</v>
      </c>
      <c r="CX33" t="s">
        <v>669</v>
      </c>
      <c r="CY33" t="s">
        <v>201</v>
      </c>
      <c r="CZ33" t="s">
        <v>600</v>
      </c>
      <c r="DA33" t="s">
        <v>214</v>
      </c>
      <c r="DB33" t="s">
        <v>205</v>
      </c>
      <c r="DC33" t="s">
        <v>281</v>
      </c>
      <c r="DD33" t="s">
        <v>213</v>
      </c>
      <c r="DE33" t="s">
        <v>183</v>
      </c>
      <c r="DF33" t="s">
        <v>281</v>
      </c>
      <c r="DG33" t="s">
        <v>204</v>
      </c>
      <c r="DH33" t="s">
        <v>600</v>
      </c>
      <c r="FH33" t="s">
        <v>931</v>
      </c>
    </row>
    <row r="34" spans="1:164" x14ac:dyDescent="0.25">
      <c r="A34">
        <v>4</v>
      </c>
      <c r="B34" t="s">
        <v>164</v>
      </c>
      <c r="C34">
        <v>46</v>
      </c>
      <c r="D34">
        <v>4601</v>
      </c>
      <c r="E34">
        <v>874738182</v>
      </c>
      <c r="F34" t="s">
        <v>165</v>
      </c>
      <c r="G34" t="s">
        <v>166</v>
      </c>
      <c r="H34" t="s">
        <v>167</v>
      </c>
      <c r="I34" t="s">
        <v>932</v>
      </c>
      <c r="J34" t="e">
        <f>TRIM(#REF!)</f>
        <v>#REF!</v>
      </c>
      <c r="K34" t="e">
        <f>#REF!&amp;#REF!&amp;#REF!</f>
        <v>#REF!</v>
      </c>
      <c r="L34" t="str">
        <f>IFERROR(VLOOKUP(#REF!,工作表1!E:I,2,FALSE),"")</f>
        <v/>
      </c>
      <c r="M34" t="str">
        <f>IFERROR(VLOOKUP(#REF!,工作表1!E:I,3,FALSE),"")</f>
        <v/>
      </c>
      <c r="N34" t="str">
        <f>IFERROR(VLOOKUP(#REF!,工作表1!E:I,4,FALSE),"")</f>
        <v/>
      </c>
      <c r="O34" t="str">
        <f>IFERROR(VLOOKUP(#REF!,工作表1!E:I,5,FALSE),"")</f>
        <v/>
      </c>
      <c r="P34" t="s">
        <v>933</v>
      </c>
      <c r="Q34" t="s">
        <v>655</v>
      </c>
      <c r="R34" t="s">
        <v>604</v>
      </c>
      <c r="T34" t="s">
        <v>885</v>
      </c>
      <c r="U34" t="s">
        <v>655</v>
      </c>
      <c r="V34" t="s">
        <v>604</v>
      </c>
      <c r="X34" t="s">
        <v>892</v>
      </c>
      <c r="Y34" t="s">
        <v>655</v>
      </c>
      <c r="Z34" t="s">
        <v>604</v>
      </c>
      <c r="AB34" t="s">
        <v>934</v>
      </c>
      <c r="AC34" t="s">
        <v>508</v>
      </c>
      <c r="AD34" t="s">
        <v>604</v>
      </c>
      <c r="AF34" t="s">
        <v>857</v>
      </c>
      <c r="AG34" t="s">
        <v>502</v>
      </c>
      <c r="AH34" t="s">
        <v>508</v>
      </c>
      <c r="AJ34" t="s">
        <v>170</v>
      </c>
      <c r="AK34" t="s">
        <v>903</v>
      </c>
      <c r="AL34" t="s">
        <v>744</v>
      </c>
      <c r="AM34" t="s">
        <v>560</v>
      </c>
      <c r="AN34" t="s">
        <v>501</v>
      </c>
      <c r="AO34" t="s">
        <v>715</v>
      </c>
      <c r="AP34" t="s">
        <v>935</v>
      </c>
      <c r="AQ34" t="s">
        <v>566</v>
      </c>
      <c r="AR34" t="s">
        <v>476</v>
      </c>
      <c r="AS34" t="s">
        <v>936</v>
      </c>
      <c r="AT34" t="s">
        <v>744</v>
      </c>
      <c r="AU34" t="s">
        <v>560</v>
      </c>
      <c r="AV34" t="s">
        <v>480</v>
      </c>
      <c r="AW34" t="s">
        <v>742</v>
      </c>
      <c r="AX34" t="s">
        <v>937</v>
      </c>
      <c r="AY34" t="s">
        <v>669</v>
      </c>
      <c r="AZ34" t="s">
        <v>581</v>
      </c>
      <c r="BA34" t="s">
        <v>774</v>
      </c>
      <c r="BB34" t="s">
        <v>938</v>
      </c>
      <c r="BC34" t="s">
        <v>202</v>
      </c>
      <c r="BD34">
        <v>1683</v>
      </c>
      <c r="BE34">
        <v>1562</v>
      </c>
      <c r="BF34">
        <v>1580</v>
      </c>
      <c r="BG34">
        <v>1659</v>
      </c>
      <c r="BH34">
        <v>1621</v>
      </c>
      <c r="BY34" t="s">
        <v>281</v>
      </c>
      <c r="BZ34" t="s">
        <v>630</v>
      </c>
      <c r="CA34" t="s">
        <v>173</v>
      </c>
      <c r="CB34" t="s">
        <v>281</v>
      </c>
      <c r="CC34" t="s">
        <v>629</v>
      </c>
      <c r="CD34" t="s">
        <v>173</v>
      </c>
      <c r="CE34" t="s">
        <v>600</v>
      </c>
      <c r="CF34" t="s">
        <v>206</v>
      </c>
      <c r="CG34" t="s">
        <v>529</v>
      </c>
      <c r="CH34" t="s">
        <v>183</v>
      </c>
      <c r="CI34" t="s">
        <v>211</v>
      </c>
      <c r="CJ34" t="s">
        <v>512</v>
      </c>
      <c r="CK34" t="s">
        <v>600</v>
      </c>
      <c r="CL34" t="s">
        <v>486</v>
      </c>
      <c r="CM34" t="s">
        <v>512</v>
      </c>
      <c r="CN34" t="s">
        <v>724</v>
      </c>
      <c r="CO34" t="s">
        <v>557</v>
      </c>
      <c r="CP34" t="s">
        <v>512</v>
      </c>
      <c r="CQ34" t="s">
        <v>174</v>
      </c>
      <c r="CR34" t="s">
        <v>630</v>
      </c>
      <c r="CS34" t="s">
        <v>182</v>
      </c>
      <c r="CT34" t="s">
        <v>201</v>
      </c>
      <c r="CU34" t="s">
        <v>204</v>
      </c>
      <c r="CV34" t="s">
        <v>182</v>
      </c>
      <c r="CW34" t="s">
        <v>496</v>
      </c>
      <c r="CX34" t="s">
        <v>211</v>
      </c>
      <c r="CY34" t="s">
        <v>519</v>
      </c>
      <c r="CZ34" t="s">
        <v>183</v>
      </c>
      <c r="DA34" t="s">
        <v>208</v>
      </c>
      <c r="DB34" t="s">
        <v>529</v>
      </c>
      <c r="DC34" t="s">
        <v>205</v>
      </c>
      <c r="DD34" t="s">
        <v>211</v>
      </c>
      <c r="DE34" t="s">
        <v>529</v>
      </c>
      <c r="DF34" t="s">
        <v>726</v>
      </c>
      <c r="DG34" t="s">
        <v>494</v>
      </c>
      <c r="DH34" t="s">
        <v>529</v>
      </c>
      <c r="FH34" t="s">
        <v>939</v>
      </c>
    </row>
    <row r="35" spans="1:164" x14ac:dyDescent="0.25">
      <c r="A35">
        <v>4</v>
      </c>
      <c r="B35" t="s">
        <v>164</v>
      </c>
      <c r="C35">
        <v>46</v>
      </c>
      <c r="D35">
        <v>4601</v>
      </c>
      <c r="E35">
        <v>974738368</v>
      </c>
      <c r="F35" t="s">
        <v>165</v>
      </c>
      <c r="G35" t="s">
        <v>166</v>
      </c>
      <c r="H35" t="s">
        <v>167</v>
      </c>
      <c r="I35" t="s">
        <v>940</v>
      </c>
      <c r="J35" t="e">
        <f>TRIM(#REF!)</f>
        <v>#REF!</v>
      </c>
      <c r="K35" t="e">
        <f>#REF!&amp;#REF!&amp;#REF!</f>
        <v>#REF!</v>
      </c>
      <c r="L35" t="str">
        <f>IFERROR(VLOOKUP(#REF!,工作表1!E:I,2,FALSE),"")</f>
        <v/>
      </c>
      <c r="M35" t="str">
        <f>IFERROR(VLOOKUP(#REF!,工作表1!E:I,3,FALSE),"")</f>
        <v/>
      </c>
      <c r="N35" t="str">
        <f>IFERROR(VLOOKUP(#REF!,工作表1!E:I,4,FALSE),"")</f>
        <v/>
      </c>
      <c r="O35" t="str">
        <f>IFERROR(VLOOKUP(#REF!,工作表1!E:I,5,FALSE),"")</f>
        <v/>
      </c>
      <c r="P35" t="s">
        <v>941</v>
      </c>
      <c r="Q35" t="s">
        <v>529</v>
      </c>
      <c r="R35" t="s">
        <v>593</v>
      </c>
      <c r="T35" t="s">
        <v>942</v>
      </c>
      <c r="U35" t="s">
        <v>474</v>
      </c>
      <c r="V35" t="s">
        <v>519</v>
      </c>
      <c r="X35" t="s">
        <v>943</v>
      </c>
      <c r="Y35" t="s">
        <v>182</v>
      </c>
      <c r="Z35" t="s">
        <v>171</v>
      </c>
      <c r="AB35" t="s">
        <v>872</v>
      </c>
      <c r="AC35" t="s">
        <v>179</v>
      </c>
      <c r="AD35" t="s">
        <v>210</v>
      </c>
      <c r="AF35" t="s">
        <v>944</v>
      </c>
      <c r="AG35" t="s">
        <v>171</v>
      </c>
      <c r="AH35" t="s">
        <v>519</v>
      </c>
      <c r="AJ35" t="s">
        <v>525</v>
      </c>
      <c r="AK35" t="s">
        <v>945</v>
      </c>
      <c r="AL35" t="s">
        <v>848</v>
      </c>
      <c r="AM35" t="s">
        <v>632</v>
      </c>
      <c r="AN35" t="s">
        <v>212</v>
      </c>
      <c r="AO35" t="s">
        <v>849</v>
      </c>
      <c r="AP35" t="s">
        <v>946</v>
      </c>
      <c r="AQ35" t="s">
        <v>623</v>
      </c>
      <c r="AR35" t="s">
        <v>216</v>
      </c>
      <c r="AS35" t="s">
        <v>812</v>
      </c>
      <c r="AT35" t="s">
        <v>947</v>
      </c>
      <c r="AU35" t="s">
        <v>190</v>
      </c>
      <c r="AV35" t="s">
        <v>174</v>
      </c>
      <c r="AW35" t="s">
        <v>948</v>
      </c>
      <c r="AX35" t="s">
        <v>949</v>
      </c>
      <c r="AY35" t="s">
        <v>266</v>
      </c>
      <c r="AZ35" t="s">
        <v>217</v>
      </c>
      <c r="BA35" t="s">
        <v>435</v>
      </c>
      <c r="BB35" t="s">
        <v>828</v>
      </c>
      <c r="BC35" t="s">
        <v>825</v>
      </c>
      <c r="BD35">
        <v>1715</v>
      </c>
      <c r="BE35">
        <v>1805</v>
      </c>
      <c r="BF35">
        <v>1729</v>
      </c>
      <c r="BG35">
        <v>1892</v>
      </c>
      <c r="BH35">
        <v>1845</v>
      </c>
      <c r="BI35" t="s">
        <v>349</v>
      </c>
      <c r="BJ35" t="s">
        <v>350</v>
      </c>
      <c r="BK35" t="s">
        <v>550</v>
      </c>
      <c r="BL35" t="s">
        <v>580</v>
      </c>
      <c r="BM35" t="s">
        <v>206</v>
      </c>
      <c r="BN35" t="s">
        <v>508</v>
      </c>
      <c r="BO35" t="s">
        <v>721</v>
      </c>
      <c r="BP35" t="s">
        <v>502</v>
      </c>
      <c r="BQ35" t="s">
        <v>604</v>
      </c>
      <c r="BR35" t="s">
        <v>604</v>
      </c>
      <c r="BS35" t="s">
        <v>435</v>
      </c>
      <c r="BT35" t="s">
        <v>819</v>
      </c>
      <c r="BU35" t="s">
        <v>675</v>
      </c>
      <c r="BV35" t="s">
        <v>569</v>
      </c>
      <c r="BW35" t="s">
        <v>545</v>
      </c>
      <c r="BX35" t="s">
        <v>681</v>
      </c>
      <c r="BY35" t="s">
        <v>207</v>
      </c>
      <c r="BZ35" t="s">
        <v>950</v>
      </c>
      <c r="CA35" t="s">
        <v>502</v>
      </c>
      <c r="CB35" t="s">
        <v>201</v>
      </c>
      <c r="CC35" t="s">
        <v>186</v>
      </c>
      <c r="CD35" t="s">
        <v>504</v>
      </c>
      <c r="CE35" t="s">
        <v>281</v>
      </c>
      <c r="CF35" t="s">
        <v>637</v>
      </c>
      <c r="CG35" t="s">
        <v>505</v>
      </c>
      <c r="CH35" t="s">
        <v>210</v>
      </c>
      <c r="CI35" t="s">
        <v>186</v>
      </c>
      <c r="CJ35" t="s">
        <v>474</v>
      </c>
      <c r="CK35" t="s">
        <v>216</v>
      </c>
      <c r="CL35" t="s">
        <v>206</v>
      </c>
      <c r="CM35" t="s">
        <v>533</v>
      </c>
      <c r="CN35" t="s">
        <v>525</v>
      </c>
      <c r="CO35" t="s">
        <v>208</v>
      </c>
      <c r="CP35" t="s">
        <v>533</v>
      </c>
      <c r="CQ35" t="s">
        <v>496</v>
      </c>
      <c r="CR35" t="s">
        <v>351</v>
      </c>
      <c r="CS35" t="s">
        <v>512</v>
      </c>
      <c r="CT35" t="s">
        <v>201</v>
      </c>
      <c r="CU35" t="s">
        <v>351</v>
      </c>
      <c r="CV35" t="s">
        <v>474</v>
      </c>
      <c r="CW35" t="s">
        <v>183</v>
      </c>
      <c r="CX35" t="s">
        <v>598</v>
      </c>
      <c r="CY35" t="s">
        <v>474</v>
      </c>
      <c r="CZ35" t="s">
        <v>210</v>
      </c>
      <c r="DA35" t="s">
        <v>550</v>
      </c>
      <c r="DB35" t="s">
        <v>512</v>
      </c>
      <c r="DC35" t="s">
        <v>215</v>
      </c>
      <c r="DD35" t="s">
        <v>186</v>
      </c>
      <c r="DE35" t="s">
        <v>533</v>
      </c>
      <c r="DF35" t="s">
        <v>210</v>
      </c>
      <c r="DG35" t="s">
        <v>557</v>
      </c>
      <c r="DH35" t="s">
        <v>512</v>
      </c>
      <c r="DI35" t="s">
        <v>281</v>
      </c>
      <c r="DJ35" t="s">
        <v>560</v>
      </c>
      <c r="DK35" t="s">
        <v>951</v>
      </c>
      <c r="DL35" t="s">
        <v>281</v>
      </c>
      <c r="DM35" t="s">
        <v>558</v>
      </c>
      <c r="DN35" t="s">
        <v>951</v>
      </c>
      <c r="DO35" t="s">
        <v>207</v>
      </c>
      <c r="DP35" t="s">
        <v>560</v>
      </c>
      <c r="DQ35" t="s">
        <v>951</v>
      </c>
      <c r="DR35" t="s">
        <v>174</v>
      </c>
      <c r="DS35" t="s">
        <v>560</v>
      </c>
      <c r="DT35" t="s">
        <v>559</v>
      </c>
      <c r="DU35" t="s">
        <v>216</v>
      </c>
      <c r="DV35" t="s">
        <v>560</v>
      </c>
      <c r="DW35" t="s">
        <v>559</v>
      </c>
      <c r="DX35" t="s">
        <v>177</v>
      </c>
      <c r="DY35" t="s">
        <v>558</v>
      </c>
      <c r="DZ35" t="s">
        <v>559</v>
      </c>
      <c r="EA35" t="s">
        <v>177</v>
      </c>
      <c r="EB35" t="s">
        <v>560</v>
      </c>
      <c r="EC35" t="s">
        <v>860</v>
      </c>
      <c r="ED35" t="s">
        <v>216</v>
      </c>
      <c r="EE35" t="s">
        <v>558</v>
      </c>
      <c r="EF35" t="s">
        <v>952</v>
      </c>
      <c r="EG35" t="s">
        <v>210</v>
      </c>
      <c r="EH35" t="s">
        <v>558</v>
      </c>
      <c r="EI35" t="s">
        <v>952</v>
      </c>
      <c r="EJ35" t="s">
        <v>174</v>
      </c>
      <c r="EK35" t="s">
        <v>495</v>
      </c>
      <c r="EL35" t="s">
        <v>692</v>
      </c>
      <c r="EM35" t="s">
        <v>177</v>
      </c>
      <c r="EN35" t="s">
        <v>495</v>
      </c>
      <c r="EO35" t="s">
        <v>692</v>
      </c>
      <c r="EP35" t="s">
        <v>281</v>
      </c>
      <c r="EQ35" t="s">
        <v>495</v>
      </c>
      <c r="ER35" t="s">
        <v>692</v>
      </c>
      <c r="ES35" t="s">
        <v>301</v>
      </c>
      <c r="ET35" t="s">
        <v>211</v>
      </c>
      <c r="EU35" t="s">
        <v>674</v>
      </c>
      <c r="EV35" t="s">
        <v>300</v>
      </c>
      <c r="EW35" t="s">
        <v>953</v>
      </c>
      <c r="EX35" t="s">
        <v>954</v>
      </c>
      <c r="EY35">
        <v>120</v>
      </c>
      <c r="EZ35">
        <v>70</v>
      </c>
      <c r="FA35" t="s">
        <v>569</v>
      </c>
      <c r="FB35" t="s">
        <v>388</v>
      </c>
      <c r="FC35" t="s">
        <v>388</v>
      </c>
      <c r="FD35" t="s">
        <v>751</v>
      </c>
      <c r="FE35">
        <v>75</v>
      </c>
      <c r="FF35">
        <v>55</v>
      </c>
      <c r="FG35" t="s">
        <v>952</v>
      </c>
      <c r="FH35" t="s">
        <v>955</v>
      </c>
    </row>
    <row r="36" spans="1:164" x14ac:dyDescent="0.25">
      <c r="A36">
        <v>4</v>
      </c>
      <c r="B36" t="s">
        <v>164</v>
      </c>
      <c r="C36">
        <v>46</v>
      </c>
      <c r="D36">
        <v>4601</v>
      </c>
      <c r="E36">
        <v>974738368</v>
      </c>
      <c r="F36" t="s">
        <v>165</v>
      </c>
      <c r="G36" t="s">
        <v>166</v>
      </c>
      <c r="H36" t="s">
        <v>167</v>
      </c>
      <c r="I36" t="s">
        <v>940</v>
      </c>
      <c r="J36" t="e">
        <f>TRIM(#REF!)</f>
        <v>#REF!</v>
      </c>
      <c r="K36" t="e">
        <f>#REF!&amp;#REF!&amp;#REF!</f>
        <v>#REF!</v>
      </c>
      <c r="L36" t="str">
        <f>IFERROR(VLOOKUP(#REF!,工作表1!E:I,2,FALSE),"")</f>
        <v/>
      </c>
      <c r="M36" t="str">
        <f>IFERROR(VLOOKUP(#REF!,工作表1!E:I,3,FALSE),"")</f>
        <v/>
      </c>
      <c r="N36" t="str">
        <f>IFERROR(VLOOKUP(#REF!,工作表1!E:I,4,FALSE),"")</f>
        <v/>
      </c>
      <c r="O36" t="str">
        <f>IFERROR(VLOOKUP(#REF!,工作表1!E:I,5,FALSE),"")</f>
        <v/>
      </c>
      <c r="P36" t="s">
        <v>941</v>
      </c>
      <c r="Q36" t="s">
        <v>529</v>
      </c>
      <c r="R36" t="s">
        <v>593</v>
      </c>
      <c r="T36" t="s">
        <v>942</v>
      </c>
      <c r="U36" t="s">
        <v>474</v>
      </c>
      <c r="V36" t="s">
        <v>519</v>
      </c>
      <c r="X36" t="s">
        <v>943</v>
      </c>
      <c r="Y36" t="s">
        <v>182</v>
      </c>
      <c r="Z36" t="s">
        <v>171</v>
      </c>
      <c r="AB36" t="s">
        <v>872</v>
      </c>
      <c r="AC36" t="s">
        <v>179</v>
      </c>
      <c r="AD36" t="s">
        <v>210</v>
      </c>
      <c r="AF36" t="s">
        <v>944</v>
      </c>
      <c r="AG36" t="s">
        <v>171</v>
      </c>
      <c r="AH36" t="s">
        <v>519</v>
      </c>
      <c r="AJ36" t="s">
        <v>525</v>
      </c>
      <c r="AK36" t="s">
        <v>945</v>
      </c>
      <c r="AL36" t="s">
        <v>848</v>
      </c>
      <c r="AM36" t="s">
        <v>632</v>
      </c>
      <c r="AN36" t="s">
        <v>212</v>
      </c>
      <c r="AO36" t="s">
        <v>849</v>
      </c>
      <c r="AP36" t="s">
        <v>946</v>
      </c>
      <c r="AQ36" t="s">
        <v>623</v>
      </c>
      <c r="AR36" t="s">
        <v>216</v>
      </c>
      <c r="AS36" t="s">
        <v>812</v>
      </c>
      <c r="AT36" t="s">
        <v>947</v>
      </c>
      <c r="AU36" t="s">
        <v>190</v>
      </c>
      <c r="AV36" t="s">
        <v>174</v>
      </c>
      <c r="AW36" t="s">
        <v>948</v>
      </c>
      <c r="AX36" t="s">
        <v>949</v>
      </c>
      <c r="AY36" t="s">
        <v>266</v>
      </c>
      <c r="AZ36" t="s">
        <v>217</v>
      </c>
      <c r="BA36" t="s">
        <v>435</v>
      </c>
      <c r="BB36" t="s">
        <v>828</v>
      </c>
      <c r="BC36" t="s">
        <v>825</v>
      </c>
      <c r="BD36">
        <v>1715</v>
      </c>
      <c r="BE36">
        <v>1805</v>
      </c>
      <c r="BF36">
        <v>1729</v>
      </c>
      <c r="BG36">
        <v>1892</v>
      </c>
      <c r="BH36">
        <v>1845</v>
      </c>
      <c r="BI36" t="s">
        <v>261</v>
      </c>
      <c r="BJ36" t="s">
        <v>262</v>
      </c>
      <c r="BK36" t="s">
        <v>626</v>
      </c>
      <c r="BL36" t="s">
        <v>680</v>
      </c>
      <c r="BM36" t="s">
        <v>190</v>
      </c>
      <c r="BN36" t="s">
        <v>395</v>
      </c>
      <c r="BO36" t="s">
        <v>351</v>
      </c>
      <c r="BP36" t="s">
        <v>956</v>
      </c>
      <c r="BQ36" t="s">
        <v>637</v>
      </c>
      <c r="BR36" t="s">
        <v>680</v>
      </c>
      <c r="BS36" t="s">
        <v>435</v>
      </c>
      <c r="BT36" t="s">
        <v>819</v>
      </c>
      <c r="BU36" t="s">
        <v>675</v>
      </c>
      <c r="BV36" t="s">
        <v>569</v>
      </c>
      <c r="BW36" t="s">
        <v>545</v>
      </c>
      <c r="BX36" t="s">
        <v>681</v>
      </c>
      <c r="BY36" t="s">
        <v>207</v>
      </c>
      <c r="BZ36" t="s">
        <v>950</v>
      </c>
      <c r="CA36" t="s">
        <v>502</v>
      </c>
      <c r="CB36" t="s">
        <v>201</v>
      </c>
      <c r="CC36" t="s">
        <v>186</v>
      </c>
      <c r="CD36" t="s">
        <v>504</v>
      </c>
      <c r="CE36" t="s">
        <v>281</v>
      </c>
      <c r="CF36" t="s">
        <v>637</v>
      </c>
      <c r="CG36" t="s">
        <v>505</v>
      </c>
      <c r="CH36" t="s">
        <v>210</v>
      </c>
      <c r="CI36" t="s">
        <v>186</v>
      </c>
      <c r="CJ36" t="s">
        <v>474</v>
      </c>
      <c r="CK36" t="s">
        <v>216</v>
      </c>
      <c r="CL36" t="s">
        <v>206</v>
      </c>
      <c r="CM36" t="s">
        <v>533</v>
      </c>
      <c r="CN36" t="s">
        <v>525</v>
      </c>
      <c r="CO36" t="s">
        <v>208</v>
      </c>
      <c r="CP36" t="s">
        <v>533</v>
      </c>
      <c r="CQ36" t="s">
        <v>496</v>
      </c>
      <c r="CR36" t="s">
        <v>351</v>
      </c>
      <c r="CS36" t="s">
        <v>512</v>
      </c>
      <c r="CT36" t="s">
        <v>201</v>
      </c>
      <c r="CU36" t="s">
        <v>351</v>
      </c>
      <c r="CV36" t="s">
        <v>474</v>
      </c>
      <c r="CW36" t="s">
        <v>183</v>
      </c>
      <c r="CX36" t="s">
        <v>598</v>
      </c>
      <c r="CY36" t="s">
        <v>474</v>
      </c>
      <c r="CZ36" t="s">
        <v>210</v>
      </c>
      <c r="DA36" t="s">
        <v>550</v>
      </c>
      <c r="DB36" t="s">
        <v>512</v>
      </c>
      <c r="DC36" t="s">
        <v>215</v>
      </c>
      <c r="DD36" t="s">
        <v>186</v>
      </c>
      <c r="DE36" t="s">
        <v>533</v>
      </c>
      <c r="DF36" t="s">
        <v>210</v>
      </c>
      <c r="DG36" t="s">
        <v>557</v>
      </c>
      <c r="DH36" t="s">
        <v>512</v>
      </c>
      <c r="DI36" t="s">
        <v>281</v>
      </c>
      <c r="DJ36" t="s">
        <v>560</v>
      </c>
      <c r="DK36" t="s">
        <v>951</v>
      </c>
      <c r="DL36" t="s">
        <v>281</v>
      </c>
      <c r="DM36" t="s">
        <v>558</v>
      </c>
      <c r="DN36" t="s">
        <v>951</v>
      </c>
      <c r="DO36" t="s">
        <v>207</v>
      </c>
      <c r="DP36" t="s">
        <v>560</v>
      </c>
      <c r="DQ36" t="s">
        <v>951</v>
      </c>
      <c r="DR36" t="s">
        <v>174</v>
      </c>
      <c r="DS36" t="s">
        <v>560</v>
      </c>
      <c r="DT36" t="s">
        <v>559</v>
      </c>
      <c r="DU36" t="s">
        <v>216</v>
      </c>
      <c r="DV36" t="s">
        <v>560</v>
      </c>
      <c r="DW36" t="s">
        <v>559</v>
      </c>
      <c r="DX36" t="s">
        <v>177</v>
      </c>
      <c r="DY36" t="s">
        <v>558</v>
      </c>
      <c r="DZ36" t="s">
        <v>559</v>
      </c>
      <c r="EA36" t="s">
        <v>177</v>
      </c>
      <c r="EB36" t="s">
        <v>560</v>
      </c>
      <c r="EC36" t="s">
        <v>860</v>
      </c>
      <c r="ED36" t="s">
        <v>216</v>
      </c>
      <c r="EE36" t="s">
        <v>558</v>
      </c>
      <c r="EF36" t="s">
        <v>952</v>
      </c>
      <c r="EG36" t="s">
        <v>210</v>
      </c>
      <c r="EH36" t="s">
        <v>558</v>
      </c>
      <c r="EI36" t="s">
        <v>952</v>
      </c>
      <c r="EJ36" t="s">
        <v>174</v>
      </c>
      <c r="EK36" t="s">
        <v>495</v>
      </c>
      <c r="EL36" t="s">
        <v>692</v>
      </c>
      <c r="EM36" t="s">
        <v>177</v>
      </c>
      <c r="EN36" t="s">
        <v>495</v>
      </c>
      <c r="EO36" t="s">
        <v>692</v>
      </c>
      <c r="EP36" t="s">
        <v>281</v>
      </c>
      <c r="EQ36" t="s">
        <v>495</v>
      </c>
      <c r="ER36" t="s">
        <v>692</v>
      </c>
      <c r="ES36" t="s">
        <v>301</v>
      </c>
      <c r="ET36" t="s">
        <v>211</v>
      </c>
      <c r="EU36" t="s">
        <v>674</v>
      </c>
      <c r="EV36" t="s">
        <v>300</v>
      </c>
      <c r="EW36" t="s">
        <v>953</v>
      </c>
      <c r="EX36" t="s">
        <v>954</v>
      </c>
      <c r="EY36">
        <v>120</v>
      </c>
      <c r="EZ36">
        <v>70</v>
      </c>
      <c r="FA36" t="s">
        <v>569</v>
      </c>
      <c r="FB36" t="s">
        <v>388</v>
      </c>
      <c r="FC36" t="s">
        <v>388</v>
      </c>
      <c r="FD36" t="s">
        <v>751</v>
      </c>
      <c r="FE36">
        <v>75</v>
      </c>
      <c r="FF36">
        <v>55</v>
      </c>
      <c r="FG36" t="s">
        <v>952</v>
      </c>
      <c r="FH36" t="s">
        <v>955</v>
      </c>
    </row>
    <row r="37" spans="1:164" x14ac:dyDescent="0.25">
      <c r="A37">
        <v>4</v>
      </c>
      <c r="B37" t="s">
        <v>164</v>
      </c>
      <c r="C37">
        <v>46</v>
      </c>
      <c r="D37">
        <v>4601</v>
      </c>
      <c r="E37">
        <v>874738522</v>
      </c>
      <c r="F37" t="s">
        <v>165</v>
      </c>
      <c r="G37" t="s">
        <v>166</v>
      </c>
      <c r="H37" t="s">
        <v>167</v>
      </c>
      <c r="I37" t="s">
        <v>957</v>
      </c>
      <c r="J37" t="e">
        <f>TRIM(#REF!)</f>
        <v>#REF!</v>
      </c>
      <c r="K37" t="e">
        <f>#REF!&amp;#REF!&amp;#REF!</f>
        <v>#REF!</v>
      </c>
      <c r="L37" t="str">
        <f>IFERROR(VLOOKUP(#REF!,工作表1!E:I,2,FALSE),"")</f>
        <v/>
      </c>
      <c r="M37" t="str">
        <f>IFERROR(VLOOKUP(#REF!,工作表1!E:I,3,FALSE),"")</f>
        <v/>
      </c>
      <c r="N37" t="str">
        <f>IFERROR(VLOOKUP(#REF!,工作表1!E:I,4,FALSE),"")</f>
        <v/>
      </c>
      <c r="O37" t="str">
        <f>IFERROR(VLOOKUP(#REF!,工作表1!E:I,5,FALSE),"")</f>
        <v/>
      </c>
      <c r="P37" t="s">
        <v>924</v>
      </c>
      <c r="Q37" t="s">
        <v>191</v>
      </c>
      <c r="R37" t="s">
        <v>529</v>
      </c>
      <c r="T37" t="s">
        <v>749</v>
      </c>
      <c r="U37" t="s">
        <v>612</v>
      </c>
      <c r="V37" t="s">
        <v>474</v>
      </c>
      <c r="X37" t="s">
        <v>958</v>
      </c>
      <c r="Y37" t="s">
        <v>612</v>
      </c>
      <c r="Z37" t="s">
        <v>217</v>
      </c>
      <c r="AB37" t="s">
        <v>959</v>
      </c>
      <c r="AC37" t="s">
        <v>179</v>
      </c>
      <c r="AD37" t="s">
        <v>612</v>
      </c>
      <c r="AF37" t="s">
        <v>960</v>
      </c>
      <c r="AG37" t="s">
        <v>195</v>
      </c>
      <c r="AH37" t="s">
        <v>595</v>
      </c>
      <c r="AJ37" t="s">
        <v>216</v>
      </c>
      <c r="AK37" t="s">
        <v>830</v>
      </c>
      <c r="AL37" t="s">
        <v>946</v>
      </c>
      <c r="AM37" t="s">
        <v>306</v>
      </c>
      <c r="AN37" t="s">
        <v>525</v>
      </c>
      <c r="AO37" t="s">
        <v>947</v>
      </c>
      <c r="AP37" t="s">
        <v>850</v>
      </c>
      <c r="AQ37" t="s">
        <v>950</v>
      </c>
      <c r="AR37" t="s">
        <v>207</v>
      </c>
      <c r="AS37" t="s">
        <v>846</v>
      </c>
      <c r="AT37" t="s">
        <v>961</v>
      </c>
      <c r="AU37" t="s">
        <v>389</v>
      </c>
      <c r="AV37" t="s">
        <v>207</v>
      </c>
      <c r="AW37" t="s">
        <v>846</v>
      </c>
      <c r="AX37" t="s">
        <v>962</v>
      </c>
      <c r="AY37" t="s">
        <v>542</v>
      </c>
      <c r="AZ37" t="s">
        <v>210</v>
      </c>
      <c r="BA37" t="s">
        <v>963</v>
      </c>
      <c r="BB37" t="s">
        <v>964</v>
      </c>
      <c r="BC37" t="s">
        <v>965</v>
      </c>
      <c r="BD37">
        <v>1935</v>
      </c>
      <c r="BE37">
        <v>1727</v>
      </c>
      <c r="BF37">
        <v>1995</v>
      </c>
      <c r="BG37">
        <v>1901</v>
      </c>
      <c r="BH37">
        <v>1922</v>
      </c>
      <c r="BI37" t="s">
        <v>349</v>
      </c>
      <c r="BJ37" t="s">
        <v>350</v>
      </c>
      <c r="BK37" t="s">
        <v>637</v>
      </c>
      <c r="BL37" t="s">
        <v>530</v>
      </c>
      <c r="BM37" t="s">
        <v>266</v>
      </c>
      <c r="BN37" t="s">
        <v>502</v>
      </c>
      <c r="BO37" t="s">
        <v>721</v>
      </c>
      <c r="BP37" t="s">
        <v>170</v>
      </c>
      <c r="BQ37" t="s">
        <v>522</v>
      </c>
      <c r="BR37" t="s">
        <v>505</v>
      </c>
      <c r="BS37" t="s">
        <v>948</v>
      </c>
      <c r="BT37" t="s">
        <v>569</v>
      </c>
      <c r="BU37" t="s">
        <v>966</v>
      </c>
      <c r="BV37" t="s">
        <v>549</v>
      </c>
      <c r="BW37" t="s">
        <v>541</v>
      </c>
      <c r="BX37" t="s">
        <v>674</v>
      </c>
      <c r="DI37" t="s">
        <v>174</v>
      </c>
      <c r="DJ37" t="s">
        <v>669</v>
      </c>
      <c r="DK37" t="s">
        <v>967</v>
      </c>
      <c r="DL37" t="s">
        <v>205</v>
      </c>
      <c r="DM37" t="s">
        <v>669</v>
      </c>
      <c r="DN37" t="s">
        <v>956</v>
      </c>
      <c r="DO37" t="s">
        <v>183</v>
      </c>
      <c r="DP37" t="s">
        <v>566</v>
      </c>
      <c r="DQ37" t="s">
        <v>567</v>
      </c>
      <c r="DR37" t="s">
        <v>201</v>
      </c>
      <c r="DS37" t="s">
        <v>562</v>
      </c>
      <c r="DT37" t="s">
        <v>861</v>
      </c>
      <c r="DU37" t="s">
        <v>174</v>
      </c>
      <c r="DV37" t="s">
        <v>560</v>
      </c>
      <c r="DW37" t="s">
        <v>968</v>
      </c>
      <c r="DX37" t="s">
        <v>174</v>
      </c>
      <c r="DY37" t="s">
        <v>669</v>
      </c>
      <c r="DZ37" t="s">
        <v>969</v>
      </c>
      <c r="EA37" t="s">
        <v>201</v>
      </c>
      <c r="EB37" t="s">
        <v>560</v>
      </c>
      <c r="EC37" t="s">
        <v>970</v>
      </c>
      <c r="ED37" t="s">
        <v>207</v>
      </c>
      <c r="EE37" t="s">
        <v>558</v>
      </c>
      <c r="EF37" t="s">
        <v>971</v>
      </c>
      <c r="EG37" t="s">
        <v>201</v>
      </c>
      <c r="EH37" t="s">
        <v>558</v>
      </c>
      <c r="EI37" t="s">
        <v>559</v>
      </c>
      <c r="EJ37" t="s">
        <v>205</v>
      </c>
      <c r="EK37" t="s">
        <v>562</v>
      </c>
      <c r="EL37" t="s">
        <v>855</v>
      </c>
      <c r="EM37" t="s">
        <v>174</v>
      </c>
      <c r="EN37" t="s">
        <v>560</v>
      </c>
      <c r="EO37" t="s">
        <v>563</v>
      </c>
      <c r="EP37" t="s">
        <v>201</v>
      </c>
      <c r="EQ37" t="s">
        <v>560</v>
      </c>
      <c r="ER37" t="s">
        <v>563</v>
      </c>
      <c r="ES37" t="s">
        <v>186</v>
      </c>
      <c r="ET37" t="s">
        <v>623</v>
      </c>
      <c r="EU37" t="s">
        <v>548</v>
      </c>
      <c r="EV37" t="s">
        <v>388</v>
      </c>
      <c r="EW37" t="s">
        <v>306</v>
      </c>
      <c r="EX37" t="s">
        <v>972</v>
      </c>
      <c r="EY37">
        <v>100</v>
      </c>
      <c r="EZ37">
        <v>90</v>
      </c>
      <c r="FA37" t="s">
        <v>861</v>
      </c>
      <c r="FB37" t="s">
        <v>605</v>
      </c>
      <c r="FC37" t="s">
        <v>574</v>
      </c>
      <c r="FD37" t="s">
        <v>973</v>
      </c>
      <c r="FE37">
        <v>110</v>
      </c>
      <c r="FF37">
        <v>80</v>
      </c>
      <c r="FG37" t="s">
        <v>549</v>
      </c>
      <c r="FH37" t="s">
        <v>974</v>
      </c>
    </row>
    <row r="38" spans="1:164" x14ac:dyDescent="0.25">
      <c r="A38">
        <v>4</v>
      </c>
      <c r="B38" t="s">
        <v>164</v>
      </c>
      <c r="C38">
        <v>46</v>
      </c>
      <c r="D38">
        <v>4601</v>
      </c>
      <c r="E38">
        <v>874738522</v>
      </c>
      <c r="F38" t="s">
        <v>165</v>
      </c>
      <c r="G38" t="s">
        <v>166</v>
      </c>
      <c r="H38" t="s">
        <v>167</v>
      </c>
      <c r="I38" t="s">
        <v>957</v>
      </c>
      <c r="J38" t="e">
        <f>TRIM(#REF!)</f>
        <v>#REF!</v>
      </c>
      <c r="K38" t="e">
        <f>#REF!&amp;#REF!&amp;#REF!</f>
        <v>#REF!</v>
      </c>
      <c r="L38" t="str">
        <f>IFERROR(VLOOKUP(#REF!,工作表1!E:I,2,FALSE),"")</f>
        <v/>
      </c>
      <c r="M38" t="str">
        <f>IFERROR(VLOOKUP(#REF!,工作表1!E:I,3,FALSE),"")</f>
        <v/>
      </c>
      <c r="N38" t="str">
        <f>IFERROR(VLOOKUP(#REF!,工作表1!E:I,4,FALSE),"")</f>
        <v/>
      </c>
      <c r="O38" t="str">
        <f>IFERROR(VLOOKUP(#REF!,工作表1!E:I,5,FALSE),"")</f>
        <v/>
      </c>
      <c r="P38" t="s">
        <v>924</v>
      </c>
      <c r="Q38" t="s">
        <v>191</v>
      </c>
      <c r="R38" t="s">
        <v>529</v>
      </c>
      <c r="T38" t="s">
        <v>749</v>
      </c>
      <c r="U38" t="s">
        <v>612</v>
      </c>
      <c r="V38" t="s">
        <v>474</v>
      </c>
      <c r="X38" t="s">
        <v>958</v>
      </c>
      <c r="Y38" t="s">
        <v>612</v>
      </c>
      <c r="Z38" t="s">
        <v>217</v>
      </c>
      <c r="AB38" t="s">
        <v>959</v>
      </c>
      <c r="AC38" t="s">
        <v>179</v>
      </c>
      <c r="AD38" t="s">
        <v>612</v>
      </c>
      <c r="AF38" t="s">
        <v>960</v>
      </c>
      <c r="AG38" t="s">
        <v>195</v>
      </c>
      <c r="AH38" t="s">
        <v>595</v>
      </c>
      <c r="AJ38" t="s">
        <v>216</v>
      </c>
      <c r="AK38" t="s">
        <v>830</v>
      </c>
      <c r="AL38" t="s">
        <v>946</v>
      </c>
      <c r="AM38" t="s">
        <v>306</v>
      </c>
      <c r="AN38" t="s">
        <v>525</v>
      </c>
      <c r="AO38" t="s">
        <v>947</v>
      </c>
      <c r="AP38" t="s">
        <v>850</v>
      </c>
      <c r="AQ38" t="s">
        <v>950</v>
      </c>
      <c r="AR38" t="s">
        <v>207</v>
      </c>
      <c r="AS38" t="s">
        <v>846</v>
      </c>
      <c r="AT38" t="s">
        <v>961</v>
      </c>
      <c r="AU38" t="s">
        <v>389</v>
      </c>
      <c r="AV38" t="s">
        <v>207</v>
      </c>
      <c r="AW38" t="s">
        <v>846</v>
      </c>
      <c r="AX38" t="s">
        <v>962</v>
      </c>
      <c r="AY38" t="s">
        <v>542</v>
      </c>
      <c r="AZ38" t="s">
        <v>210</v>
      </c>
      <c r="BA38" t="s">
        <v>963</v>
      </c>
      <c r="BB38" t="s">
        <v>964</v>
      </c>
      <c r="BC38" t="s">
        <v>965</v>
      </c>
      <c r="BD38">
        <v>1935</v>
      </c>
      <c r="BE38">
        <v>1727</v>
      </c>
      <c r="BF38">
        <v>1995</v>
      </c>
      <c r="BG38">
        <v>1901</v>
      </c>
      <c r="BH38">
        <v>1922</v>
      </c>
      <c r="BI38" t="s">
        <v>261</v>
      </c>
      <c r="BJ38" t="s">
        <v>262</v>
      </c>
      <c r="BK38" t="s">
        <v>626</v>
      </c>
      <c r="BL38" t="s">
        <v>975</v>
      </c>
      <c r="BM38" t="s">
        <v>550</v>
      </c>
      <c r="BN38" t="s">
        <v>569</v>
      </c>
      <c r="BO38" t="s">
        <v>633</v>
      </c>
      <c r="BP38" t="s">
        <v>858</v>
      </c>
      <c r="BQ38" t="s">
        <v>266</v>
      </c>
      <c r="BR38" t="s">
        <v>674</v>
      </c>
      <c r="BS38" t="s">
        <v>948</v>
      </c>
      <c r="BT38" t="s">
        <v>569</v>
      </c>
      <c r="BU38" t="s">
        <v>966</v>
      </c>
      <c r="BV38" t="s">
        <v>549</v>
      </c>
      <c r="BW38" t="s">
        <v>541</v>
      </c>
      <c r="BX38" t="s">
        <v>674</v>
      </c>
      <c r="DI38" t="s">
        <v>174</v>
      </c>
      <c r="DJ38" t="s">
        <v>669</v>
      </c>
      <c r="DK38" t="s">
        <v>967</v>
      </c>
      <c r="DL38" t="s">
        <v>205</v>
      </c>
      <c r="DM38" t="s">
        <v>669</v>
      </c>
      <c r="DN38" t="s">
        <v>956</v>
      </c>
      <c r="DO38" t="s">
        <v>183</v>
      </c>
      <c r="DP38" t="s">
        <v>566</v>
      </c>
      <c r="DQ38" t="s">
        <v>567</v>
      </c>
      <c r="DR38" t="s">
        <v>201</v>
      </c>
      <c r="DS38" t="s">
        <v>562</v>
      </c>
      <c r="DT38" t="s">
        <v>861</v>
      </c>
      <c r="DU38" t="s">
        <v>174</v>
      </c>
      <c r="DV38" t="s">
        <v>560</v>
      </c>
      <c r="DW38" t="s">
        <v>968</v>
      </c>
      <c r="DX38" t="s">
        <v>174</v>
      </c>
      <c r="DY38" t="s">
        <v>669</v>
      </c>
      <c r="DZ38" t="s">
        <v>969</v>
      </c>
      <c r="EA38" t="s">
        <v>201</v>
      </c>
      <c r="EB38" t="s">
        <v>560</v>
      </c>
      <c r="EC38" t="s">
        <v>970</v>
      </c>
      <c r="ED38" t="s">
        <v>207</v>
      </c>
      <c r="EE38" t="s">
        <v>558</v>
      </c>
      <c r="EF38" t="s">
        <v>971</v>
      </c>
      <c r="EG38" t="s">
        <v>201</v>
      </c>
      <c r="EH38" t="s">
        <v>558</v>
      </c>
      <c r="EI38" t="s">
        <v>559</v>
      </c>
      <c r="EJ38" t="s">
        <v>205</v>
      </c>
      <c r="EK38" t="s">
        <v>562</v>
      </c>
      <c r="EL38" t="s">
        <v>855</v>
      </c>
      <c r="EM38" t="s">
        <v>174</v>
      </c>
      <c r="EN38" t="s">
        <v>560</v>
      </c>
      <c r="EO38" t="s">
        <v>563</v>
      </c>
      <c r="EP38" t="s">
        <v>201</v>
      </c>
      <c r="EQ38" t="s">
        <v>560</v>
      </c>
      <c r="ER38" t="s">
        <v>563</v>
      </c>
      <c r="ES38" t="s">
        <v>186</v>
      </c>
      <c r="ET38" t="s">
        <v>623</v>
      </c>
      <c r="EU38" t="s">
        <v>548</v>
      </c>
      <c r="EV38" t="s">
        <v>388</v>
      </c>
      <c r="EW38" t="s">
        <v>306</v>
      </c>
      <c r="EX38" t="s">
        <v>972</v>
      </c>
      <c r="EY38">
        <v>100</v>
      </c>
      <c r="EZ38">
        <v>90</v>
      </c>
      <c r="FA38" t="s">
        <v>861</v>
      </c>
      <c r="FB38" t="s">
        <v>605</v>
      </c>
      <c r="FC38" t="s">
        <v>574</v>
      </c>
      <c r="FD38" t="s">
        <v>973</v>
      </c>
      <c r="FE38">
        <v>110</v>
      </c>
      <c r="FF38">
        <v>80</v>
      </c>
      <c r="FG38" t="s">
        <v>549</v>
      </c>
      <c r="FH38" t="s">
        <v>974</v>
      </c>
    </row>
    <row r="39" spans="1:164" x14ac:dyDescent="0.25">
      <c r="A39">
        <v>4</v>
      </c>
      <c r="B39" t="s">
        <v>164</v>
      </c>
      <c r="C39">
        <v>46</v>
      </c>
      <c r="D39">
        <v>4601</v>
      </c>
      <c r="E39">
        <v>974738023</v>
      </c>
      <c r="F39" t="s">
        <v>165</v>
      </c>
      <c r="G39" t="s">
        <v>166</v>
      </c>
      <c r="H39" t="s">
        <v>167</v>
      </c>
      <c r="I39" t="s">
        <v>976</v>
      </c>
      <c r="J39" t="e">
        <f>TRIM(#REF!)</f>
        <v>#REF!</v>
      </c>
      <c r="K39" t="e">
        <f>#REF!&amp;#REF!&amp;#REF!</f>
        <v>#REF!</v>
      </c>
      <c r="L39" t="str">
        <f>IFERROR(VLOOKUP(#REF!,工作表1!E:I,2,FALSE),"")</f>
        <v/>
      </c>
      <c r="M39" t="str">
        <f>IFERROR(VLOOKUP(#REF!,工作表1!E:I,3,FALSE),"")</f>
        <v/>
      </c>
      <c r="N39" t="str">
        <f>IFERROR(VLOOKUP(#REF!,工作表1!E:I,4,FALSE),"")</f>
        <v/>
      </c>
      <c r="O39" t="str">
        <f>IFERROR(VLOOKUP(#REF!,工作表1!E:I,5,FALSE),"")</f>
        <v/>
      </c>
      <c r="P39" t="s">
        <v>977</v>
      </c>
      <c r="Q39" t="s">
        <v>173</v>
      </c>
      <c r="R39" t="s">
        <v>473</v>
      </c>
      <c r="T39" t="s">
        <v>978</v>
      </c>
      <c r="U39" t="s">
        <v>480</v>
      </c>
      <c r="V39" t="s">
        <v>581</v>
      </c>
      <c r="X39" t="s">
        <v>979</v>
      </c>
      <c r="Y39" t="s">
        <v>473</v>
      </c>
      <c r="Z39" t="s">
        <v>476</v>
      </c>
      <c r="AB39" t="s">
        <v>980</v>
      </c>
      <c r="AC39" t="s">
        <v>173</v>
      </c>
      <c r="AD39" t="s">
        <v>504</v>
      </c>
      <c r="AF39" t="s">
        <v>981</v>
      </c>
      <c r="AG39" t="s">
        <v>608</v>
      </c>
      <c r="AH39" t="s">
        <v>481</v>
      </c>
      <c r="AJ39" t="s">
        <v>533</v>
      </c>
      <c r="AK39" t="s">
        <v>982</v>
      </c>
      <c r="AL39" t="s">
        <v>516</v>
      </c>
      <c r="AM39" t="s">
        <v>495</v>
      </c>
      <c r="AN39" t="s">
        <v>474</v>
      </c>
      <c r="AO39" t="s">
        <v>983</v>
      </c>
      <c r="AP39" t="s">
        <v>657</v>
      </c>
      <c r="AQ39" t="s">
        <v>214</v>
      </c>
      <c r="AR39" t="s">
        <v>474</v>
      </c>
      <c r="AS39" t="s">
        <v>622</v>
      </c>
      <c r="AT39" t="s">
        <v>984</v>
      </c>
      <c r="AU39" t="s">
        <v>211</v>
      </c>
      <c r="AV39" t="s">
        <v>519</v>
      </c>
      <c r="AW39" t="s">
        <v>514</v>
      </c>
      <c r="AX39" t="s">
        <v>985</v>
      </c>
      <c r="AY39" t="s">
        <v>721</v>
      </c>
      <c r="AZ39" t="s">
        <v>474</v>
      </c>
      <c r="BA39" t="s">
        <v>986</v>
      </c>
      <c r="BB39" t="s">
        <v>717</v>
      </c>
      <c r="BC39" t="s">
        <v>206</v>
      </c>
      <c r="BD39">
        <v>1659</v>
      </c>
      <c r="BE39">
        <v>1680</v>
      </c>
      <c r="BF39">
        <v>1559</v>
      </c>
      <c r="BG39">
        <v>1686</v>
      </c>
      <c r="BH39">
        <v>1667</v>
      </c>
      <c r="BY39" t="s">
        <v>215</v>
      </c>
      <c r="BZ39" t="s">
        <v>557</v>
      </c>
      <c r="CA39" t="s">
        <v>217</v>
      </c>
      <c r="CB39" t="s">
        <v>210</v>
      </c>
      <c r="CC39" t="s">
        <v>557</v>
      </c>
      <c r="CD39" t="s">
        <v>215</v>
      </c>
      <c r="CE39" t="s">
        <v>216</v>
      </c>
      <c r="CF39" t="s">
        <v>211</v>
      </c>
      <c r="CG39" t="s">
        <v>217</v>
      </c>
      <c r="CH39" t="s">
        <v>215</v>
      </c>
      <c r="CI39" t="s">
        <v>629</v>
      </c>
      <c r="CJ39" t="s">
        <v>195</v>
      </c>
      <c r="CK39" t="s">
        <v>216</v>
      </c>
      <c r="CL39" t="s">
        <v>522</v>
      </c>
      <c r="CM39" t="s">
        <v>195</v>
      </c>
      <c r="CN39" t="s">
        <v>210</v>
      </c>
      <c r="CO39" t="s">
        <v>204</v>
      </c>
      <c r="CP39" t="s">
        <v>187</v>
      </c>
      <c r="CQ39" t="s">
        <v>216</v>
      </c>
      <c r="CR39" t="s">
        <v>213</v>
      </c>
      <c r="CS39" t="s">
        <v>523</v>
      </c>
      <c r="CT39" t="s">
        <v>177</v>
      </c>
      <c r="CU39" t="s">
        <v>204</v>
      </c>
      <c r="CV39" t="s">
        <v>523</v>
      </c>
      <c r="CW39" t="s">
        <v>177</v>
      </c>
      <c r="CX39" t="s">
        <v>204</v>
      </c>
      <c r="CY39" t="s">
        <v>523</v>
      </c>
      <c r="CZ39" t="s">
        <v>217</v>
      </c>
      <c r="DA39" t="s">
        <v>214</v>
      </c>
      <c r="DB39" t="s">
        <v>203</v>
      </c>
      <c r="DC39" t="s">
        <v>217</v>
      </c>
      <c r="DD39" t="s">
        <v>495</v>
      </c>
      <c r="DE39" t="s">
        <v>203</v>
      </c>
      <c r="DF39" t="s">
        <v>217</v>
      </c>
      <c r="DG39" t="s">
        <v>208</v>
      </c>
      <c r="DH39" t="s">
        <v>203</v>
      </c>
      <c r="FH39" t="s">
        <v>987</v>
      </c>
    </row>
    <row r="40" spans="1:164" x14ac:dyDescent="0.25">
      <c r="A40">
        <v>4</v>
      </c>
      <c r="B40" t="s">
        <v>164</v>
      </c>
      <c r="C40">
        <v>46</v>
      </c>
      <c r="D40">
        <v>4601</v>
      </c>
      <c r="E40">
        <v>974187442</v>
      </c>
      <c r="F40" t="s">
        <v>165</v>
      </c>
      <c r="G40" t="s">
        <v>166</v>
      </c>
      <c r="H40" t="s">
        <v>167</v>
      </c>
      <c r="I40" t="s">
        <v>988</v>
      </c>
      <c r="J40" t="e">
        <f>TRIM(#REF!)</f>
        <v>#REF!</v>
      </c>
      <c r="K40" t="e">
        <f>#REF!&amp;#REF!&amp;#REF!</f>
        <v>#REF!</v>
      </c>
      <c r="L40" t="str">
        <f>IFERROR(VLOOKUP(#REF!,工作表1!E:I,2,FALSE),"")</f>
        <v/>
      </c>
      <c r="M40" t="str">
        <f>IFERROR(VLOOKUP(#REF!,工作表1!E:I,3,FALSE),"")</f>
        <v/>
      </c>
      <c r="N40" t="str">
        <f>IFERROR(VLOOKUP(#REF!,工作表1!E:I,4,FALSE),"")</f>
        <v/>
      </c>
      <c r="O40" t="str">
        <f>IFERROR(VLOOKUP(#REF!,工作表1!E:I,5,FALSE),"")</f>
        <v/>
      </c>
      <c r="P40" t="s">
        <v>576</v>
      </c>
      <c r="Q40" t="s">
        <v>556</v>
      </c>
      <c r="R40" t="s">
        <v>556</v>
      </c>
      <c r="T40" t="s">
        <v>889</v>
      </c>
      <c r="U40" t="s">
        <v>556</v>
      </c>
      <c r="V40" t="s">
        <v>556</v>
      </c>
      <c r="X40" t="s">
        <v>710</v>
      </c>
      <c r="Y40" t="s">
        <v>556</v>
      </c>
      <c r="Z40" t="s">
        <v>556</v>
      </c>
      <c r="AB40" t="s">
        <v>890</v>
      </c>
      <c r="AC40" t="s">
        <v>556</v>
      </c>
      <c r="AD40" t="s">
        <v>556</v>
      </c>
      <c r="AF40" t="s">
        <v>886</v>
      </c>
      <c r="AG40" t="s">
        <v>556</v>
      </c>
      <c r="AH40" t="s">
        <v>556</v>
      </c>
      <c r="AJ40" t="s">
        <v>476</v>
      </c>
      <c r="AK40" t="s">
        <v>715</v>
      </c>
      <c r="AL40" t="s">
        <v>989</v>
      </c>
      <c r="AM40" t="s">
        <v>712</v>
      </c>
      <c r="AN40" t="s">
        <v>533</v>
      </c>
      <c r="AO40" t="s">
        <v>985</v>
      </c>
      <c r="AP40" t="s">
        <v>903</v>
      </c>
      <c r="AQ40" t="s">
        <v>990</v>
      </c>
      <c r="AR40" t="s">
        <v>195</v>
      </c>
      <c r="AS40" t="s">
        <v>991</v>
      </c>
      <c r="AT40" t="s">
        <v>992</v>
      </c>
      <c r="AU40" t="s">
        <v>990</v>
      </c>
      <c r="AV40" t="s">
        <v>489</v>
      </c>
      <c r="AW40" t="s">
        <v>188</v>
      </c>
      <c r="AX40" t="s">
        <v>667</v>
      </c>
      <c r="AY40" t="s">
        <v>558</v>
      </c>
      <c r="AZ40" t="s">
        <v>519</v>
      </c>
      <c r="BA40" t="s">
        <v>756</v>
      </c>
      <c r="BB40" t="s">
        <v>782</v>
      </c>
      <c r="BC40" t="s">
        <v>301</v>
      </c>
      <c r="BD40">
        <v>1591</v>
      </c>
      <c r="BE40">
        <v>1432</v>
      </c>
      <c r="BF40">
        <v>1054</v>
      </c>
      <c r="BG40">
        <v>1098</v>
      </c>
      <c r="BH40">
        <v>1087</v>
      </c>
      <c r="BY40" t="s">
        <v>180</v>
      </c>
      <c r="BZ40" t="s">
        <v>598</v>
      </c>
      <c r="CA40" t="s">
        <v>170</v>
      </c>
      <c r="CB40" t="s">
        <v>281</v>
      </c>
      <c r="CC40" t="s">
        <v>827</v>
      </c>
      <c r="CD40" t="s">
        <v>608</v>
      </c>
      <c r="CE40" t="s">
        <v>496</v>
      </c>
      <c r="CF40" t="s">
        <v>631</v>
      </c>
      <c r="CG40" t="s">
        <v>501</v>
      </c>
      <c r="CH40" t="s">
        <v>727</v>
      </c>
      <c r="CI40" t="s">
        <v>208</v>
      </c>
      <c r="CJ40" t="s">
        <v>173</v>
      </c>
      <c r="CK40" t="s">
        <v>201</v>
      </c>
      <c r="CL40" t="s">
        <v>637</v>
      </c>
      <c r="CM40" t="s">
        <v>505</v>
      </c>
      <c r="CN40" t="s">
        <v>584</v>
      </c>
      <c r="CO40" t="s">
        <v>206</v>
      </c>
      <c r="CP40" t="s">
        <v>173</v>
      </c>
      <c r="CQ40" t="s">
        <v>586</v>
      </c>
      <c r="CR40" t="s">
        <v>486</v>
      </c>
      <c r="CS40" t="s">
        <v>504</v>
      </c>
      <c r="CT40" t="s">
        <v>604</v>
      </c>
      <c r="CU40" t="s">
        <v>604</v>
      </c>
      <c r="CV40" t="s">
        <v>604</v>
      </c>
      <c r="CW40" t="s">
        <v>600</v>
      </c>
      <c r="CX40" t="s">
        <v>389</v>
      </c>
      <c r="CY40" t="s">
        <v>505</v>
      </c>
      <c r="CZ40" t="s">
        <v>586</v>
      </c>
      <c r="DA40" t="s">
        <v>633</v>
      </c>
      <c r="DB40" t="s">
        <v>580</v>
      </c>
      <c r="DC40" t="s">
        <v>281</v>
      </c>
      <c r="DD40" t="s">
        <v>825</v>
      </c>
      <c r="DE40" t="s">
        <v>505</v>
      </c>
      <c r="DF40" t="s">
        <v>183</v>
      </c>
      <c r="DG40" t="s">
        <v>598</v>
      </c>
      <c r="DH40" t="s">
        <v>580</v>
      </c>
      <c r="DI40" t="s">
        <v>582</v>
      </c>
      <c r="DJ40" t="s">
        <v>629</v>
      </c>
      <c r="DK40" t="s">
        <v>580</v>
      </c>
      <c r="DL40" t="s">
        <v>201</v>
      </c>
      <c r="DM40" t="s">
        <v>198</v>
      </c>
      <c r="DN40" t="s">
        <v>505</v>
      </c>
      <c r="DO40" t="s">
        <v>496</v>
      </c>
      <c r="DP40" t="s">
        <v>721</v>
      </c>
      <c r="DQ40" t="s">
        <v>581</v>
      </c>
      <c r="DR40" t="s">
        <v>586</v>
      </c>
      <c r="DS40" t="s">
        <v>557</v>
      </c>
      <c r="DT40" t="s">
        <v>176</v>
      </c>
      <c r="DU40" t="s">
        <v>281</v>
      </c>
      <c r="DV40" t="s">
        <v>721</v>
      </c>
      <c r="DW40" t="s">
        <v>612</v>
      </c>
      <c r="DX40" t="s">
        <v>600</v>
      </c>
      <c r="DY40" t="s">
        <v>213</v>
      </c>
      <c r="DZ40" t="s">
        <v>612</v>
      </c>
      <c r="EA40" t="s">
        <v>584</v>
      </c>
      <c r="EB40" t="s">
        <v>494</v>
      </c>
      <c r="EC40" t="s">
        <v>182</v>
      </c>
      <c r="ED40" t="s">
        <v>496</v>
      </c>
      <c r="EE40" t="s">
        <v>721</v>
      </c>
      <c r="EF40" t="s">
        <v>473</v>
      </c>
      <c r="EG40" t="s">
        <v>205</v>
      </c>
      <c r="EH40" t="s">
        <v>351</v>
      </c>
      <c r="EI40" t="s">
        <v>182</v>
      </c>
      <c r="EJ40" t="s">
        <v>726</v>
      </c>
      <c r="EK40" t="s">
        <v>598</v>
      </c>
      <c r="EL40" t="s">
        <v>480</v>
      </c>
      <c r="EM40" t="s">
        <v>604</v>
      </c>
      <c r="EN40" t="s">
        <v>604</v>
      </c>
      <c r="EO40" t="s">
        <v>604</v>
      </c>
      <c r="EP40" t="s">
        <v>174</v>
      </c>
      <c r="EQ40" t="s">
        <v>623</v>
      </c>
      <c r="ER40" t="s">
        <v>480</v>
      </c>
      <c r="FH40" t="s">
        <v>993</v>
      </c>
    </row>
    <row r="41" spans="1:164" x14ac:dyDescent="0.25">
      <c r="A41">
        <v>4</v>
      </c>
      <c r="B41" t="s">
        <v>164</v>
      </c>
      <c r="C41">
        <v>46</v>
      </c>
      <c r="D41">
        <v>4601</v>
      </c>
      <c r="E41">
        <v>974738333</v>
      </c>
      <c r="F41" t="s">
        <v>165</v>
      </c>
      <c r="G41" t="s">
        <v>166</v>
      </c>
      <c r="H41" t="s">
        <v>167</v>
      </c>
      <c r="I41" t="s">
        <v>994</v>
      </c>
      <c r="J41" t="e">
        <f>TRIM(#REF!)</f>
        <v>#REF!</v>
      </c>
      <c r="K41" t="e">
        <f>#REF!&amp;#REF!&amp;#REF!</f>
        <v>#REF!</v>
      </c>
      <c r="L41" t="str">
        <f>IFERROR(VLOOKUP(#REF!,工作表1!E:I,2,FALSE),"")</f>
        <v/>
      </c>
      <c r="M41" t="str">
        <f>IFERROR(VLOOKUP(#REF!,工作表1!E:I,3,FALSE),"")</f>
        <v/>
      </c>
      <c r="N41" t="str">
        <f>IFERROR(VLOOKUP(#REF!,工作表1!E:I,4,FALSE),"")</f>
        <v/>
      </c>
      <c r="O41" t="str">
        <f>IFERROR(VLOOKUP(#REF!,工作表1!E:I,5,FALSE),"")</f>
        <v/>
      </c>
      <c r="P41" t="s">
        <v>995</v>
      </c>
      <c r="Q41" t="s">
        <v>519</v>
      </c>
      <c r="R41" t="s">
        <v>473</v>
      </c>
      <c r="T41" t="s">
        <v>980</v>
      </c>
      <c r="U41" t="s">
        <v>612</v>
      </c>
      <c r="V41" t="s">
        <v>170</v>
      </c>
      <c r="X41" t="s">
        <v>996</v>
      </c>
      <c r="Y41" t="s">
        <v>512</v>
      </c>
      <c r="Z41" t="s">
        <v>608</v>
      </c>
      <c r="AB41" t="s">
        <v>981</v>
      </c>
      <c r="AC41" t="s">
        <v>480</v>
      </c>
      <c r="AD41" t="s">
        <v>504</v>
      </c>
      <c r="AF41" t="s">
        <v>997</v>
      </c>
      <c r="AG41" t="s">
        <v>476</v>
      </c>
      <c r="AH41" t="s">
        <v>481</v>
      </c>
      <c r="AJ41" t="s">
        <v>176</v>
      </c>
      <c r="AK41" t="s">
        <v>483</v>
      </c>
      <c r="AL41" t="s">
        <v>616</v>
      </c>
      <c r="AM41" t="s">
        <v>998</v>
      </c>
      <c r="AN41" t="s">
        <v>179</v>
      </c>
      <c r="AO41" t="s">
        <v>999</v>
      </c>
      <c r="AP41" t="s">
        <v>794</v>
      </c>
      <c r="AQ41" t="s">
        <v>641</v>
      </c>
      <c r="AR41" t="s">
        <v>519</v>
      </c>
      <c r="AS41" t="s">
        <v>488</v>
      </c>
      <c r="AT41" t="s">
        <v>483</v>
      </c>
      <c r="AU41" t="s">
        <v>646</v>
      </c>
      <c r="AV41" t="s">
        <v>533</v>
      </c>
      <c r="AW41" t="s">
        <v>488</v>
      </c>
      <c r="AX41" t="s">
        <v>483</v>
      </c>
      <c r="AY41" t="s">
        <v>1000</v>
      </c>
      <c r="AZ41" t="s">
        <v>533</v>
      </c>
      <c r="BA41" t="s">
        <v>700</v>
      </c>
      <c r="BB41" t="s">
        <v>625</v>
      </c>
      <c r="BC41" t="s">
        <v>1000</v>
      </c>
      <c r="BD41">
        <v>1587</v>
      </c>
      <c r="BE41">
        <v>1399</v>
      </c>
      <c r="BF41">
        <v>1343</v>
      </c>
      <c r="BG41">
        <v>1336</v>
      </c>
      <c r="BH41">
        <v>1544</v>
      </c>
      <c r="BY41" t="s">
        <v>207</v>
      </c>
      <c r="BZ41" t="s">
        <v>204</v>
      </c>
      <c r="CA41" t="s">
        <v>212</v>
      </c>
      <c r="CB41" t="s">
        <v>174</v>
      </c>
      <c r="CC41" t="s">
        <v>213</v>
      </c>
      <c r="CD41" t="s">
        <v>212</v>
      </c>
      <c r="CE41" t="s">
        <v>183</v>
      </c>
      <c r="CF41" t="s">
        <v>644</v>
      </c>
      <c r="CG41" t="s">
        <v>212</v>
      </c>
      <c r="CH41" t="s">
        <v>201</v>
      </c>
      <c r="CI41" t="s">
        <v>202</v>
      </c>
      <c r="CJ41" t="s">
        <v>179</v>
      </c>
      <c r="CK41" t="s">
        <v>281</v>
      </c>
      <c r="CL41" t="s">
        <v>211</v>
      </c>
      <c r="CM41" t="s">
        <v>176</v>
      </c>
      <c r="CN41" t="s">
        <v>281</v>
      </c>
      <c r="CO41" t="s">
        <v>206</v>
      </c>
      <c r="CP41" t="s">
        <v>489</v>
      </c>
      <c r="CQ41" t="s">
        <v>207</v>
      </c>
      <c r="CR41" t="s">
        <v>208</v>
      </c>
      <c r="CS41" t="s">
        <v>176</v>
      </c>
      <c r="CT41" t="s">
        <v>174</v>
      </c>
      <c r="CU41" t="s">
        <v>721</v>
      </c>
      <c r="CV41" t="s">
        <v>612</v>
      </c>
      <c r="CW41" t="s">
        <v>201</v>
      </c>
      <c r="CX41" t="s">
        <v>494</v>
      </c>
      <c r="CY41" t="s">
        <v>182</v>
      </c>
      <c r="CZ41" t="s">
        <v>207</v>
      </c>
      <c r="DA41" t="s">
        <v>522</v>
      </c>
      <c r="DB41" t="s">
        <v>595</v>
      </c>
      <c r="DC41" t="s">
        <v>215</v>
      </c>
      <c r="DD41" t="s">
        <v>557</v>
      </c>
      <c r="DE41" t="s">
        <v>595</v>
      </c>
      <c r="DF41" t="s">
        <v>174</v>
      </c>
      <c r="DG41" t="s">
        <v>206</v>
      </c>
      <c r="DH41" t="s">
        <v>593</v>
      </c>
      <c r="FH41" t="s">
        <v>1001</v>
      </c>
    </row>
    <row r="42" spans="1:164" x14ac:dyDescent="0.25">
      <c r="A42">
        <v>4</v>
      </c>
      <c r="B42" t="s">
        <v>164</v>
      </c>
      <c r="C42">
        <v>46</v>
      </c>
      <c r="D42">
        <v>4601</v>
      </c>
      <c r="E42">
        <v>974738503</v>
      </c>
      <c r="F42" t="s">
        <v>165</v>
      </c>
      <c r="G42" t="s">
        <v>166</v>
      </c>
      <c r="H42" t="s">
        <v>167</v>
      </c>
      <c r="I42" t="s">
        <v>1002</v>
      </c>
      <c r="J42" t="e">
        <f>TRIM(#REF!)</f>
        <v>#REF!</v>
      </c>
      <c r="K42" t="e">
        <f>#REF!&amp;#REF!&amp;#REF!</f>
        <v>#REF!</v>
      </c>
      <c r="L42" t="str">
        <f>IFERROR(VLOOKUP(#REF!,工作表1!E:I,2,FALSE),"")</f>
        <v/>
      </c>
      <c r="M42" t="str">
        <f>IFERROR(VLOOKUP(#REF!,工作表1!E:I,3,FALSE),"")</f>
        <v/>
      </c>
      <c r="N42" t="str">
        <f>IFERROR(VLOOKUP(#REF!,工作表1!E:I,4,FALSE),"")</f>
        <v/>
      </c>
      <c r="O42" t="str">
        <f>IFERROR(VLOOKUP(#REF!,工作表1!E:I,5,FALSE),"")</f>
        <v/>
      </c>
      <c r="P42" t="s">
        <v>1003</v>
      </c>
      <c r="Q42" t="s">
        <v>489</v>
      </c>
      <c r="R42" t="s">
        <v>481</v>
      </c>
      <c r="T42" t="s">
        <v>1004</v>
      </c>
      <c r="U42" t="s">
        <v>593</v>
      </c>
      <c r="V42" t="s">
        <v>481</v>
      </c>
      <c r="X42" t="s">
        <v>1004</v>
      </c>
      <c r="Y42" t="s">
        <v>179</v>
      </c>
      <c r="Z42" t="s">
        <v>481</v>
      </c>
      <c r="AB42" t="s">
        <v>971</v>
      </c>
      <c r="AC42" t="s">
        <v>489</v>
      </c>
      <c r="AD42" t="s">
        <v>604</v>
      </c>
      <c r="AF42" t="s">
        <v>1005</v>
      </c>
      <c r="AG42" t="s">
        <v>191</v>
      </c>
      <c r="AH42" t="s">
        <v>655</v>
      </c>
      <c r="AJ42" t="s">
        <v>170</v>
      </c>
      <c r="AK42" t="s">
        <v>715</v>
      </c>
      <c r="AL42" t="s">
        <v>1006</v>
      </c>
      <c r="AM42" t="s">
        <v>1007</v>
      </c>
      <c r="AN42" t="s">
        <v>473</v>
      </c>
      <c r="AO42" t="s">
        <v>775</v>
      </c>
      <c r="AP42" t="s">
        <v>1008</v>
      </c>
      <c r="AQ42" t="s">
        <v>1009</v>
      </c>
      <c r="AR42" t="s">
        <v>473</v>
      </c>
      <c r="AS42" t="s">
        <v>1010</v>
      </c>
      <c r="AT42" t="s">
        <v>720</v>
      </c>
      <c r="AU42" t="s">
        <v>1011</v>
      </c>
      <c r="AV42" t="s">
        <v>501</v>
      </c>
      <c r="AW42" t="s">
        <v>1012</v>
      </c>
      <c r="AX42" t="s">
        <v>1013</v>
      </c>
      <c r="AY42" t="s">
        <v>1011</v>
      </c>
      <c r="AZ42" t="s">
        <v>476</v>
      </c>
      <c r="BA42" t="s">
        <v>775</v>
      </c>
      <c r="BB42" t="s">
        <v>1014</v>
      </c>
      <c r="BC42" t="s">
        <v>388</v>
      </c>
      <c r="BD42">
        <v>1505</v>
      </c>
      <c r="BE42">
        <v>1426</v>
      </c>
      <c r="BF42">
        <v>1541</v>
      </c>
      <c r="BG42">
        <v>1438</v>
      </c>
      <c r="BH42">
        <v>1615</v>
      </c>
      <c r="CA42" t="s">
        <v>556</v>
      </c>
      <c r="CB42" t="s">
        <v>216</v>
      </c>
      <c r="CC42" t="s">
        <v>631</v>
      </c>
      <c r="CD42" t="s">
        <v>581</v>
      </c>
      <c r="CE42" t="s">
        <v>205</v>
      </c>
      <c r="CF42" t="s">
        <v>186</v>
      </c>
      <c r="CG42" t="s">
        <v>581</v>
      </c>
      <c r="CH42" t="s">
        <v>212</v>
      </c>
      <c r="CI42" t="s">
        <v>623</v>
      </c>
      <c r="CJ42" t="s">
        <v>504</v>
      </c>
      <c r="CK42" t="s">
        <v>525</v>
      </c>
      <c r="CL42" t="s">
        <v>263</v>
      </c>
      <c r="CM42" t="s">
        <v>504</v>
      </c>
      <c r="CN42" t="s">
        <v>523</v>
      </c>
      <c r="CO42" t="s">
        <v>1015</v>
      </c>
      <c r="CP42" t="s">
        <v>504</v>
      </c>
      <c r="CQ42" t="s">
        <v>216</v>
      </c>
      <c r="CR42" t="s">
        <v>198</v>
      </c>
      <c r="CS42" t="s">
        <v>501</v>
      </c>
      <c r="CT42" t="s">
        <v>525</v>
      </c>
      <c r="CU42" t="s">
        <v>557</v>
      </c>
      <c r="CV42" t="s">
        <v>501</v>
      </c>
      <c r="CW42" t="s">
        <v>281</v>
      </c>
      <c r="CX42" t="s">
        <v>266</v>
      </c>
      <c r="CY42" t="s">
        <v>476</v>
      </c>
      <c r="CZ42" t="s">
        <v>201</v>
      </c>
      <c r="DA42" t="s">
        <v>652</v>
      </c>
      <c r="DB42" t="s">
        <v>608</v>
      </c>
      <c r="DC42" t="s">
        <v>177</v>
      </c>
      <c r="DD42" t="s">
        <v>618</v>
      </c>
      <c r="DE42" t="s">
        <v>502</v>
      </c>
      <c r="DF42" t="s">
        <v>207</v>
      </c>
      <c r="DG42" t="s">
        <v>797</v>
      </c>
      <c r="DH42" t="s">
        <v>608</v>
      </c>
      <c r="FH42" t="s">
        <v>1016</v>
      </c>
    </row>
    <row r="43" spans="1:164" x14ac:dyDescent="0.25">
      <c r="A43">
        <v>4</v>
      </c>
      <c r="B43" t="s">
        <v>164</v>
      </c>
      <c r="C43">
        <v>46</v>
      </c>
      <c r="D43">
        <v>4601</v>
      </c>
      <c r="E43">
        <v>974738252</v>
      </c>
      <c r="F43" t="s">
        <v>165</v>
      </c>
      <c r="G43" t="s">
        <v>166</v>
      </c>
      <c r="H43" t="s">
        <v>167</v>
      </c>
      <c r="I43" t="s">
        <v>1017</v>
      </c>
      <c r="J43" t="e">
        <f>TRIM(#REF!)</f>
        <v>#REF!</v>
      </c>
      <c r="K43" t="e">
        <f>#REF!&amp;#REF!&amp;#REF!</f>
        <v>#REF!</v>
      </c>
      <c r="L43" t="str">
        <f>IFERROR(VLOOKUP(#REF!,工作表1!E:I,2,FALSE),"")</f>
        <v/>
      </c>
      <c r="M43" t="str">
        <f>IFERROR(VLOOKUP(#REF!,工作表1!E:I,3,FALSE),"")</f>
        <v/>
      </c>
      <c r="N43" t="str">
        <f>IFERROR(VLOOKUP(#REF!,工作表1!E:I,4,FALSE),"")</f>
        <v/>
      </c>
      <c r="O43" t="str">
        <f>IFERROR(VLOOKUP(#REF!,工作表1!E:I,5,FALSE),"")</f>
        <v/>
      </c>
      <c r="P43" t="s">
        <v>869</v>
      </c>
      <c r="Q43" t="s">
        <v>581</v>
      </c>
      <c r="R43" t="s">
        <v>505</v>
      </c>
      <c r="T43" t="s">
        <v>1018</v>
      </c>
      <c r="U43" t="s">
        <v>480</v>
      </c>
      <c r="V43" t="s">
        <v>581</v>
      </c>
      <c r="X43" t="s">
        <v>1019</v>
      </c>
      <c r="Y43" t="s">
        <v>501</v>
      </c>
      <c r="Z43" t="s">
        <v>473</v>
      </c>
      <c r="AB43" t="s">
        <v>1020</v>
      </c>
      <c r="AC43" t="s">
        <v>480</v>
      </c>
      <c r="AD43" t="s">
        <v>476</v>
      </c>
      <c r="AF43" t="s">
        <v>1021</v>
      </c>
      <c r="AG43" t="s">
        <v>608</v>
      </c>
      <c r="AH43" t="s">
        <v>476</v>
      </c>
      <c r="AJ43" t="s">
        <v>281</v>
      </c>
      <c r="AK43" t="s">
        <v>812</v>
      </c>
      <c r="AL43" t="s">
        <v>1022</v>
      </c>
      <c r="AM43" t="s">
        <v>206</v>
      </c>
      <c r="AN43" t="s">
        <v>215</v>
      </c>
      <c r="AO43" t="s">
        <v>433</v>
      </c>
      <c r="AP43" t="s">
        <v>1023</v>
      </c>
      <c r="AQ43" t="s">
        <v>206</v>
      </c>
      <c r="AR43" t="s">
        <v>177</v>
      </c>
      <c r="AS43" t="s">
        <v>1024</v>
      </c>
      <c r="AT43" t="s">
        <v>1025</v>
      </c>
      <c r="AU43" t="s">
        <v>486</v>
      </c>
      <c r="AV43" t="s">
        <v>215</v>
      </c>
      <c r="AW43" t="s">
        <v>555</v>
      </c>
      <c r="AX43" t="s">
        <v>1023</v>
      </c>
      <c r="AY43" t="s">
        <v>557</v>
      </c>
      <c r="AZ43" t="s">
        <v>215</v>
      </c>
      <c r="BA43" t="s">
        <v>271</v>
      </c>
      <c r="BB43" t="s">
        <v>1026</v>
      </c>
      <c r="BC43" t="s">
        <v>557</v>
      </c>
      <c r="BD43">
        <v>1775</v>
      </c>
      <c r="BE43">
        <v>1738</v>
      </c>
      <c r="BF43">
        <v>1777</v>
      </c>
      <c r="BG43">
        <v>1749</v>
      </c>
      <c r="BH43">
        <v>1771</v>
      </c>
      <c r="BI43" t="s">
        <v>349</v>
      </c>
      <c r="BJ43" t="s">
        <v>350</v>
      </c>
      <c r="BK43" t="s">
        <v>604</v>
      </c>
      <c r="BL43" t="s">
        <v>604</v>
      </c>
      <c r="BM43" t="s">
        <v>598</v>
      </c>
      <c r="BN43" t="s">
        <v>608</v>
      </c>
      <c r="BO43" t="s">
        <v>190</v>
      </c>
      <c r="BP43" t="s">
        <v>502</v>
      </c>
      <c r="BQ43" t="s">
        <v>266</v>
      </c>
      <c r="BR43" t="s">
        <v>504</v>
      </c>
      <c r="BS43" t="s">
        <v>966</v>
      </c>
      <c r="BT43" t="s">
        <v>209</v>
      </c>
      <c r="BU43" t="s">
        <v>356</v>
      </c>
      <c r="BV43" t="s">
        <v>724</v>
      </c>
      <c r="BW43" t="s">
        <v>271</v>
      </c>
      <c r="BX43" t="s">
        <v>726</v>
      </c>
      <c r="BY43" t="s">
        <v>205</v>
      </c>
      <c r="BZ43" t="s">
        <v>494</v>
      </c>
      <c r="CA43" t="s">
        <v>183</v>
      </c>
      <c r="CB43" t="s">
        <v>205</v>
      </c>
      <c r="CC43" t="s">
        <v>495</v>
      </c>
      <c r="CD43" t="s">
        <v>183</v>
      </c>
      <c r="CE43" t="s">
        <v>201</v>
      </c>
      <c r="CF43" t="s">
        <v>557</v>
      </c>
      <c r="CG43" t="s">
        <v>183</v>
      </c>
      <c r="CH43" t="s">
        <v>215</v>
      </c>
      <c r="CI43" t="s">
        <v>214</v>
      </c>
      <c r="CJ43" t="s">
        <v>584</v>
      </c>
      <c r="CK43" t="s">
        <v>177</v>
      </c>
      <c r="CL43" t="s">
        <v>213</v>
      </c>
      <c r="CM43" t="s">
        <v>584</v>
      </c>
      <c r="CN43" t="s">
        <v>177</v>
      </c>
      <c r="CO43" t="s">
        <v>495</v>
      </c>
      <c r="CP43" t="s">
        <v>584</v>
      </c>
      <c r="CQ43" t="s">
        <v>207</v>
      </c>
      <c r="CR43" t="s">
        <v>557</v>
      </c>
      <c r="CS43" t="s">
        <v>525</v>
      </c>
      <c r="CT43" t="s">
        <v>177</v>
      </c>
      <c r="CU43" t="s">
        <v>214</v>
      </c>
      <c r="CV43" t="s">
        <v>525</v>
      </c>
      <c r="CW43" t="s">
        <v>207</v>
      </c>
      <c r="CX43" t="s">
        <v>211</v>
      </c>
      <c r="CY43" t="s">
        <v>217</v>
      </c>
      <c r="CZ43" t="s">
        <v>281</v>
      </c>
      <c r="DA43" t="s">
        <v>214</v>
      </c>
      <c r="DB43" t="s">
        <v>582</v>
      </c>
      <c r="DC43" t="s">
        <v>207</v>
      </c>
      <c r="DD43" t="s">
        <v>644</v>
      </c>
      <c r="DE43" t="s">
        <v>582</v>
      </c>
      <c r="DF43" t="s">
        <v>177</v>
      </c>
      <c r="DG43" t="s">
        <v>494</v>
      </c>
      <c r="DH43" t="s">
        <v>582</v>
      </c>
      <c r="DI43" t="s">
        <v>207</v>
      </c>
      <c r="DJ43" t="s">
        <v>495</v>
      </c>
      <c r="DK43" t="s">
        <v>180</v>
      </c>
      <c r="DL43" t="s">
        <v>281</v>
      </c>
      <c r="DM43" t="s">
        <v>644</v>
      </c>
      <c r="DN43" t="s">
        <v>180</v>
      </c>
      <c r="DO43" t="s">
        <v>281</v>
      </c>
      <c r="DP43" t="s">
        <v>495</v>
      </c>
      <c r="DQ43" t="s">
        <v>601</v>
      </c>
      <c r="DR43" t="s">
        <v>207</v>
      </c>
      <c r="DS43" t="s">
        <v>301</v>
      </c>
      <c r="DT43" t="s">
        <v>584</v>
      </c>
      <c r="DU43" t="s">
        <v>207</v>
      </c>
      <c r="DV43" t="s">
        <v>494</v>
      </c>
      <c r="DW43" t="s">
        <v>180</v>
      </c>
      <c r="DX43" t="s">
        <v>207</v>
      </c>
      <c r="DY43" t="s">
        <v>497</v>
      </c>
      <c r="DZ43" t="s">
        <v>180</v>
      </c>
      <c r="EA43" t="s">
        <v>174</v>
      </c>
      <c r="EB43" t="s">
        <v>644</v>
      </c>
      <c r="EC43" t="s">
        <v>584</v>
      </c>
      <c r="ED43" t="s">
        <v>177</v>
      </c>
      <c r="EE43" t="s">
        <v>566</v>
      </c>
      <c r="EF43" t="s">
        <v>584</v>
      </c>
      <c r="EG43" t="s">
        <v>281</v>
      </c>
      <c r="EH43" t="s">
        <v>301</v>
      </c>
      <c r="EI43" t="s">
        <v>586</v>
      </c>
      <c r="EJ43" t="s">
        <v>600</v>
      </c>
      <c r="EK43" t="s">
        <v>497</v>
      </c>
      <c r="EL43" t="s">
        <v>183</v>
      </c>
      <c r="EM43" t="s">
        <v>205</v>
      </c>
      <c r="EN43" t="s">
        <v>495</v>
      </c>
      <c r="EO43" t="s">
        <v>496</v>
      </c>
      <c r="EP43" t="s">
        <v>201</v>
      </c>
      <c r="EQ43" t="s">
        <v>202</v>
      </c>
      <c r="ER43" t="s">
        <v>183</v>
      </c>
      <c r="ES43" t="s">
        <v>214</v>
      </c>
      <c r="ET43" t="s">
        <v>211</v>
      </c>
      <c r="EU43" t="s">
        <v>212</v>
      </c>
      <c r="EV43" t="s">
        <v>211</v>
      </c>
      <c r="EW43" t="s">
        <v>562</v>
      </c>
      <c r="EX43" t="s">
        <v>1027</v>
      </c>
      <c r="EY43">
        <v>85</v>
      </c>
      <c r="EZ43">
        <v>30</v>
      </c>
      <c r="FA43" t="s">
        <v>215</v>
      </c>
      <c r="FB43" t="s">
        <v>306</v>
      </c>
      <c r="FC43" t="s">
        <v>389</v>
      </c>
      <c r="FD43" t="s">
        <v>724</v>
      </c>
      <c r="FE43">
        <v>130</v>
      </c>
      <c r="FF43">
        <v>80</v>
      </c>
      <c r="FG43" t="s">
        <v>180</v>
      </c>
      <c r="FH43" t="s">
        <v>1028</v>
      </c>
    </row>
    <row r="44" spans="1:164" x14ac:dyDescent="0.25">
      <c r="A44">
        <v>4</v>
      </c>
      <c r="B44" t="s">
        <v>164</v>
      </c>
      <c r="C44">
        <v>46</v>
      </c>
      <c r="D44">
        <v>4601</v>
      </c>
      <c r="E44">
        <v>974738252</v>
      </c>
      <c r="F44" t="s">
        <v>165</v>
      </c>
      <c r="G44" t="s">
        <v>166</v>
      </c>
      <c r="H44" t="s">
        <v>167</v>
      </c>
      <c r="I44" t="s">
        <v>1017</v>
      </c>
      <c r="J44" t="e">
        <f>TRIM(#REF!)</f>
        <v>#REF!</v>
      </c>
      <c r="K44" t="e">
        <f>#REF!&amp;#REF!&amp;#REF!</f>
        <v>#REF!</v>
      </c>
      <c r="L44" t="str">
        <f>IFERROR(VLOOKUP(#REF!,工作表1!E:I,2,FALSE),"")</f>
        <v/>
      </c>
      <c r="M44" t="str">
        <f>IFERROR(VLOOKUP(#REF!,工作表1!E:I,3,FALSE),"")</f>
        <v/>
      </c>
      <c r="N44" t="str">
        <f>IFERROR(VLOOKUP(#REF!,工作表1!E:I,4,FALSE),"")</f>
        <v/>
      </c>
      <c r="O44" t="str">
        <f>IFERROR(VLOOKUP(#REF!,工作表1!E:I,5,FALSE),"")</f>
        <v/>
      </c>
      <c r="P44" t="s">
        <v>869</v>
      </c>
      <c r="Q44" t="s">
        <v>581</v>
      </c>
      <c r="R44" t="s">
        <v>505</v>
      </c>
      <c r="T44" t="s">
        <v>1018</v>
      </c>
      <c r="U44" t="s">
        <v>480</v>
      </c>
      <c r="V44" t="s">
        <v>581</v>
      </c>
      <c r="X44" t="s">
        <v>1019</v>
      </c>
      <c r="Y44" t="s">
        <v>501</v>
      </c>
      <c r="Z44" t="s">
        <v>473</v>
      </c>
      <c r="AB44" t="s">
        <v>1020</v>
      </c>
      <c r="AC44" t="s">
        <v>480</v>
      </c>
      <c r="AD44" t="s">
        <v>476</v>
      </c>
      <c r="AF44" t="s">
        <v>1021</v>
      </c>
      <c r="AG44" t="s">
        <v>608</v>
      </c>
      <c r="AH44" t="s">
        <v>476</v>
      </c>
      <c r="AJ44" t="s">
        <v>281</v>
      </c>
      <c r="AK44" t="s">
        <v>812</v>
      </c>
      <c r="AL44" t="s">
        <v>1022</v>
      </c>
      <c r="AM44" t="s">
        <v>206</v>
      </c>
      <c r="AN44" t="s">
        <v>215</v>
      </c>
      <c r="AO44" t="s">
        <v>433</v>
      </c>
      <c r="AP44" t="s">
        <v>1023</v>
      </c>
      <c r="AQ44" t="s">
        <v>206</v>
      </c>
      <c r="AR44" t="s">
        <v>177</v>
      </c>
      <c r="AS44" t="s">
        <v>1024</v>
      </c>
      <c r="AT44" t="s">
        <v>1025</v>
      </c>
      <c r="AU44" t="s">
        <v>486</v>
      </c>
      <c r="AV44" t="s">
        <v>215</v>
      </c>
      <c r="AW44" t="s">
        <v>555</v>
      </c>
      <c r="AX44" t="s">
        <v>1023</v>
      </c>
      <c r="AY44" t="s">
        <v>557</v>
      </c>
      <c r="AZ44" t="s">
        <v>215</v>
      </c>
      <c r="BA44" t="s">
        <v>271</v>
      </c>
      <c r="BB44" t="s">
        <v>1026</v>
      </c>
      <c r="BC44" t="s">
        <v>557</v>
      </c>
      <c r="BD44">
        <v>1775</v>
      </c>
      <c r="BE44">
        <v>1738</v>
      </c>
      <c r="BF44">
        <v>1777</v>
      </c>
      <c r="BG44">
        <v>1749</v>
      </c>
      <c r="BH44">
        <v>1771</v>
      </c>
      <c r="BI44" t="s">
        <v>261</v>
      </c>
      <c r="BJ44" t="s">
        <v>262</v>
      </c>
      <c r="BK44" t="s">
        <v>626</v>
      </c>
      <c r="BL44" t="s">
        <v>1029</v>
      </c>
      <c r="BM44" t="s">
        <v>550</v>
      </c>
      <c r="BN44" t="s">
        <v>209</v>
      </c>
      <c r="BO44" t="s">
        <v>633</v>
      </c>
      <c r="BP44" t="s">
        <v>586</v>
      </c>
      <c r="BQ44" t="s">
        <v>266</v>
      </c>
      <c r="BR44" t="s">
        <v>726</v>
      </c>
      <c r="BS44" t="s">
        <v>966</v>
      </c>
      <c r="BT44" t="s">
        <v>209</v>
      </c>
      <c r="BU44" t="s">
        <v>356</v>
      </c>
      <c r="BV44" t="s">
        <v>724</v>
      </c>
      <c r="BW44" t="s">
        <v>271</v>
      </c>
      <c r="BX44" t="s">
        <v>726</v>
      </c>
      <c r="BY44" t="s">
        <v>205</v>
      </c>
      <c r="BZ44" t="s">
        <v>494</v>
      </c>
      <c r="CA44" t="s">
        <v>183</v>
      </c>
      <c r="CB44" t="s">
        <v>205</v>
      </c>
      <c r="CC44" t="s">
        <v>495</v>
      </c>
      <c r="CD44" t="s">
        <v>183</v>
      </c>
      <c r="CE44" t="s">
        <v>201</v>
      </c>
      <c r="CF44" t="s">
        <v>557</v>
      </c>
      <c r="CG44" t="s">
        <v>183</v>
      </c>
      <c r="CH44" t="s">
        <v>215</v>
      </c>
      <c r="CI44" t="s">
        <v>214</v>
      </c>
      <c r="CJ44" t="s">
        <v>584</v>
      </c>
      <c r="CK44" t="s">
        <v>177</v>
      </c>
      <c r="CL44" t="s">
        <v>213</v>
      </c>
      <c r="CM44" t="s">
        <v>584</v>
      </c>
      <c r="CN44" t="s">
        <v>177</v>
      </c>
      <c r="CO44" t="s">
        <v>495</v>
      </c>
      <c r="CP44" t="s">
        <v>584</v>
      </c>
      <c r="CQ44" t="s">
        <v>207</v>
      </c>
      <c r="CR44" t="s">
        <v>557</v>
      </c>
      <c r="CS44" t="s">
        <v>525</v>
      </c>
      <c r="CT44" t="s">
        <v>177</v>
      </c>
      <c r="CU44" t="s">
        <v>214</v>
      </c>
      <c r="CV44" t="s">
        <v>525</v>
      </c>
      <c r="CW44" t="s">
        <v>207</v>
      </c>
      <c r="CX44" t="s">
        <v>211</v>
      </c>
      <c r="CY44" t="s">
        <v>217</v>
      </c>
      <c r="CZ44" t="s">
        <v>281</v>
      </c>
      <c r="DA44" t="s">
        <v>214</v>
      </c>
      <c r="DB44" t="s">
        <v>582</v>
      </c>
      <c r="DC44" t="s">
        <v>207</v>
      </c>
      <c r="DD44" t="s">
        <v>644</v>
      </c>
      <c r="DE44" t="s">
        <v>582</v>
      </c>
      <c r="DF44" t="s">
        <v>177</v>
      </c>
      <c r="DG44" t="s">
        <v>494</v>
      </c>
      <c r="DH44" t="s">
        <v>582</v>
      </c>
      <c r="DI44" t="s">
        <v>207</v>
      </c>
      <c r="DJ44" t="s">
        <v>495</v>
      </c>
      <c r="DK44" t="s">
        <v>180</v>
      </c>
      <c r="DL44" t="s">
        <v>281</v>
      </c>
      <c r="DM44" t="s">
        <v>644</v>
      </c>
      <c r="DN44" t="s">
        <v>180</v>
      </c>
      <c r="DO44" t="s">
        <v>281</v>
      </c>
      <c r="DP44" t="s">
        <v>495</v>
      </c>
      <c r="DQ44" t="s">
        <v>601</v>
      </c>
      <c r="DR44" t="s">
        <v>207</v>
      </c>
      <c r="DS44" t="s">
        <v>301</v>
      </c>
      <c r="DT44" t="s">
        <v>584</v>
      </c>
      <c r="DU44" t="s">
        <v>207</v>
      </c>
      <c r="DV44" t="s">
        <v>494</v>
      </c>
      <c r="DW44" t="s">
        <v>180</v>
      </c>
      <c r="DX44" t="s">
        <v>207</v>
      </c>
      <c r="DY44" t="s">
        <v>497</v>
      </c>
      <c r="DZ44" t="s">
        <v>180</v>
      </c>
      <c r="EA44" t="s">
        <v>174</v>
      </c>
      <c r="EB44" t="s">
        <v>644</v>
      </c>
      <c r="EC44" t="s">
        <v>584</v>
      </c>
      <c r="ED44" t="s">
        <v>177</v>
      </c>
      <c r="EE44" t="s">
        <v>566</v>
      </c>
      <c r="EF44" t="s">
        <v>584</v>
      </c>
      <c r="EG44" t="s">
        <v>281</v>
      </c>
      <c r="EH44" t="s">
        <v>301</v>
      </c>
      <c r="EI44" t="s">
        <v>586</v>
      </c>
      <c r="EJ44" t="s">
        <v>600</v>
      </c>
      <c r="EK44" t="s">
        <v>497</v>
      </c>
      <c r="EL44" t="s">
        <v>183</v>
      </c>
      <c r="EM44" t="s">
        <v>205</v>
      </c>
      <c r="EN44" t="s">
        <v>495</v>
      </c>
      <c r="EO44" t="s">
        <v>496</v>
      </c>
      <c r="EP44" t="s">
        <v>201</v>
      </c>
      <c r="EQ44" t="s">
        <v>202</v>
      </c>
      <c r="ER44" t="s">
        <v>183</v>
      </c>
      <c r="ES44" t="s">
        <v>214</v>
      </c>
      <c r="ET44" t="s">
        <v>211</v>
      </c>
      <c r="EU44" t="s">
        <v>212</v>
      </c>
      <c r="EV44" t="s">
        <v>211</v>
      </c>
      <c r="EW44" t="s">
        <v>562</v>
      </c>
      <c r="EX44" t="s">
        <v>1027</v>
      </c>
      <c r="EY44">
        <v>85</v>
      </c>
      <c r="EZ44">
        <v>30</v>
      </c>
      <c r="FA44" t="s">
        <v>215</v>
      </c>
      <c r="FB44" t="s">
        <v>306</v>
      </c>
      <c r="FC44" t="s">
        <v>389</v>
      </c>
      <c r="FD44" t="s">
        <v>724</v>
      </c>
      <c r="FE44">
        <v>130</v>
      </c>
      <c r="FF44">
        <v>80</v>
      </c>
      <c r="FG44" t="s">
        <v>180</v>
      </c>
      <c r="FH44" t="s">
        <v>1028</v>
      </c>
    </row>
    <row r="45" spans="1:164" x14ac:dyDescent="0.25">
      <c r="A45">
        <v>4</v>
      </c>
      <c r="B45" t="s">
        <v>164</v>
      </c>
      <c r="C45">
        <v>46</v>
      </c>
      <c r="D45">
        <v>4601</v>
      </c>
      <c r="E45">
        <v>974738449</v>
      </c>
      <c r="F45" t="s">
        <v>165</v>
      </c>
      <c r="G45" t="s">
        <v>166</v>
      </c>
      <c r="H45" t="s">
        <v>167</v>
      </c>
      <c r="I45" t="s">
        <v>1030</v>
      </c>
      <c r="J45" t="e">
        <f>TRIM(#REF!)</f>
        <v>#REF!</v>
      </c>
      <c r="K45" t="e">
        <f>#REF!&amp;#REF!&amp;#REF!</f>
        <v>#REF!</v>
      </c>
      <c r="L45" t="str">
        <f>IFERROR(VLOOKUP(#REF!,工作表1!E:I,2,FALSE),"")</f>
        <v/>
      </c>
      <c r="M45" t="str">
        <f>IFERROR(VLOOKUP(#REF!,工作表1!E:I,3,FALSE),"")</f>
        <v/>
      </c>
      <c r="N45" t="str">
        <f>IFERROR(VLOOKUP(#REF!,工作表1!E:I,4,FALSE),"")</f>
        <v/>
      </c>
      <c r="O45" t="str">
        <f>IFERROR(VLOOKUP(#REF!,工作表1!E:I,5,FALSE),"")</f>
        <v/>
      </c>
      <c r="P45" t="s">
        <v>1031</v>
      </c>
      <c r="Q45" t="s">
        <v>176</v>
      </c>
      <c r="R45" t="s">
        <v>174</v>
      </c>
      <c r="T45" t="s">
        <v>1032</v>
      </c>
      <c r="U45" t="s">
        <v>612</v>
      </c>
      <c r="V45" t="s">
        <v>209</v>
      </c>
      <c r="X45" t="s">
        <v>1033</v>
      </c>
      <c r="Y45" t="s">
        <v>195</v>
      </c>
      <c r="Z45" t="s">
        <v>523</v>
      </c>
      <c r="AB45" t="s">
        <v>1034</v>
      </c>
      <c r="AC45" t="s">
        <v>191</v>
      </c>
      <c r="AD45" t="s">
        <v>1029</v>
      </c>
      <c r="AF45" t="s">
        <v>1035</v>
      </c>
      <c r="AG45" t="s">
        <v>195</v>
      </c>
      <c r="AH45" t="s">
        <v>171</v>
      </c>
      <c r="AJ45" t="s">
        <v>174</v>
      </c>
      <c r="AK45" t="s">
        <v>1036</v>
      </c>
      <c r="AL45" t="s">
        <v>1037</v>
      </c>
      <c r="AM45" t="s">
        <v>630</v>
      </c>
      <c r="AN45" t="s">
        <v>207</v>
      </c>
      <c r="AO45" t="s">
        <v>1038</v>
      </c>
      <c r="AP45" t="s">
        <v>848</v>
      </c>
      <c r="AQ45" t="s">
        <v>486</v>
      </c>
      <c r="AR45" t="s">
        <v>207</v>
      </c>
      <c r="AS45" t="s">
        <v>356</v>
      </c>
      <c r="AT45" t="s">
        <v>1039</v>
      </c>
      <c r="AU45" t="s">
        <v>721</v>
      </c>
      <c r="AV45" t="s">
        <v>210</v>
      </c>
      <c r="AW45" t="s">
        <v>1040</v>
      </c>
      <c r="AX45" t="s">
        <v>1041</v>
      </c>
      <c r="AY45" t="s">
        <v>797</v>
      </c>
      <c r="AZ45" t="s">
        <v>216</v>
      </c>
      <c r="BA45" t="s">
        <v>830</v>
      </c>
      <c r="BB45" t="s">
        <v>1042</v>
      </c>
      <c r="BC45" t="s">
        <v>637</v>
      </c>
      <c r="BD45">
        <v>1732</v>
      </c>
      <c r="BE45">
        <v>1682</v>
      </c>
      <c r="BF45">
        <v>1567</v>
      </c>
      <c r="BG45">
        <v>1765</v>
      </c>
      <c r="BH45">
        <v>1688</v>
      </c>
      <c r="BI45" t="s">
        <v>349</v>
      </c>
      <c r="BJ45" t="s">
        <v>350</v>
      </c>
      <c r="BK45" t="s">
        <v>604</v>
      </c>
      <c r="BL45" t="s">
        <v>604</v>
      </c>
      <c r="BM45" t="s">
        <v>721</v>
      </c>
      <c r="BN45" t="s">
        <v>530</v>
      </c>
      <c r="BO45" t="s">
        <v>604</v>
      </c>
      <c r="BP45" t="s">
        <v>604</v>
      </c>
      <c r="BQ45" t="s">
        <v>604</v>
      </c>
      <c r="BR45" t="s">
        <v>604</v>
      </c>
      <c r="BS45" t="s">
        <v>830</v>
      </c>
      <c r="BT45" t="s">
        <v>734</v>
      </c>
      <c r="BU45" t="s">
        <v>848</v>
      </c>
      <c r="BV45" t="s">
        <v>586</v>
      </c>
      <c r="BW45" t="s">
        <v>553</v>
      </c>
      <c r="BX45" t="s">
        <v>692</v>
      </c>
      <c r="BY45" t="s">
        <v>281</v>
      </c>
      <c r="BZ45" t="s">
        <v>486</v>
      </c>
      <c r="CA45" t="s">
        <v>195</v>
      </c>
      <c r="CB45" t="s">
        <v>210</v>
      </c>
      <c r="CC45" t="s">
        <v>557</v>
      </c>
      <c r="CD45" t="s">
        <v>593</v>
      </c>
      <c r="CE45" t="s">
        <v>177</v>
      </c>
      <c r="CF45" t="s">
        <v>202</v>
      </c>
      <c r="CG45" t="s">
        <v>191</v>
      </c>
      <c r="CH45" t="s">
        <v>281</v>
      </c>
      <c r="CI45" t="s">
        <v>202</v>
      </c>
      <c r="CJ45" t="s">
        <v>171</v>
      </c>
      <c r="CK45" t="s">
        <v>215</v>
      </c>
      <c r="CL45" t="s">
        <v>202</v>
      </c>
      <c r="CM45" t="s">
        <v>191</v>
      </c>
      <c r="CN45" t="s">
        <v>217</v>
      </c>
      <c r="CO45" t="s">
        <v>486</v>
      </c>
      <c r="CP45" t="s">
        <v>595</v>
      </c>
      <c r="CQ45" t="s">
        <v>205</v>
      </c>
      <c r="CR45" t="s">
        <v>211</v>
      </c>
      <c r="CS45" t="s">
        <v>212</v>
      </c>
      <c r="CT45" t="s">
        <v>177</v>
      </c>
      <c r="CU45" t="s">
        <v>486</v>
      </c>
      <c r="CV45" t="s">
        <v>523</v>
      </c>
      <c r="CW45" t="s">
        <v>207</v>
      </c>
      <c r="CX45" t="s">
        <v>522</v>
      </c>
      <c r="CY45" t="s">
        <v>523</v>
      </c>
      <c r="CZ45" t="s">
        <v>216</v>
      </c>
      <c r="DA45" t="s">
        <v>301</v>
      </c>
      <c r="DB45" t="s">
        <v>582</v>
      </c>
      <c r="DC45" t="s">
        <v>217</v>
      </c>
      <c r="DD45" t="s">
        <v>301</v>
      </c>
      <c r="DE45" t="s">
        <v>726</v>
      </c>
      <c r="DF45" t="s">
        <v>215</v>
      </c>
      <c r="DG45" t="s">
        <v>644</v>
      </c>
      <c r="DH45" t="s">
        <v>726</v>
      </c>
      <c r="DK45" t="s">
        <v>556</v>
      </c>
      <c r="DN45" t="s">
        <v>556</v>
      </c>
      <c r="DQ45" t="s">
        <v>556</v>
      </c>
      <c r="DR45" t="s">
        <v>177</v>
      </c>
      <c r="DS45" t="s">
        <v>629</v>
      </c>
      <c r="DT45" t="s">
        <v>281</v>
      </c>
      <c r="DU45" t="s">
        <v>216</v>
      </c>
      <c r="DV45" t="s">
        <v>206</v>
      </c>
      <c r="DW45" t="s">
        <v>174</v>
      </c>
      <c r="DX45" t="s">
        <v>210</v>
      </c>
      <c r="DY45" t="s">
        <v>211</v>
      </c>
      <c r="DZ45" t="s">
        <v>207</v>
      </c>
      <c r="EA45" t="s">
        <v>177</v>
      </c>
      <c r="EB45" t="s">
        <v>494</v>
      </c>
      <c r="EC45" t="s">
        <v>217</v>
      </c>
      <c r="ED45" t="s">
        <v>215</v>
      </c>
      <c r="EE45" t="s">
        <v>204</v>
      </c>
      <c r="EF45" t="s">
        <v>216</v>
      </c>
      <c r="EG45" t="s">
        <v>217</v>
      </c>
      <c r="EH45" t="s">
        <v>211</v>
      </c>
      <c r="EI45" t="s">
        <v>215</v>
      </c>
      <c r="EJ45" t="s">
        <v>174</v>
      </c>
      <c r="EK45" t="s">
        <v>644</v>
      </c>
      <c r="EL45" t="s">
        <v>180</v>
      </c>
      <c r="EM45" t="s">
        <v>177</v>
      </c>
      <c r="EN45" t="s">
        <v>644</v>
      </c>
      <c r="EO45" t="s">
        <v>584</v>
      </c>
      <c r="EP45" t="s">
        <v>281</v>
      </c>
      <c r="EQ45" t="s">
        <v>213</v>
      </c>
      <c r="ER45" t="s">
        <v>584</v>
      </c>
      <c r="ES45" t="s">
        <v>186</v>
      </c>
      <c r="ET45" t="s">
        <v>300</v>
      </c>
      <c r="EU45" t="s">
        <v>732</v>
      </c>
      <c r="EV45" t="s">
        <v>389</v>
      </c>
      <c r="EW45" t="s">
        <v>300</v>
      </c>
      <c r="EX45" t="s">
        <v>676</v>
      </c>
      <c r="EY45">
        <v>110</v>
      </c>
      <c r="EZ45">
        <v>70</v>
      </c>
      <c r="FA45" t="s">
        <v>1043</v>
      </c>
      <c r="FB45" t="s">
        <v>305</v>
      </c>
      <c r="FC45" t="s">
        <v>629</v>
      </c>
      <c r="FD45" t="s">
        <v>727</v>
      </c>
      <c r="FE45">
        <v>80</v>
      </c>
      <c r="FF45">
        <v>20</v>
      </c>
      <c r="FG45" t="s">
        <v>676</v>
      </c>
      <c r="FH45" t="s">
        <v>1044</v>
      </c>
    </row>
    <row r="46" spans="1:164" x14ac:dyDescent="0.25">
      <c r="A46">
        <v>4</v>
      </c>
      <c r="B46" t="s">
        <v>164</v>
      </c>
      <c r="C46">
        <v>46</v>
      </c>
      <c r="D46">
        <v>4601</v>
      </c>
      <c r="E46">
        <v>874222062</v>
      </c>
      <c r="F46" t="s">
        <v>165</v>
      </c>
      <c r="G46" t="s">
        <v>166</v>
      </c>
      <c r="H46" t="s">
        <v>167</v>
      </c>
      <c r="I46" t="s">
        <v>1045</v>
      </c>
      <c r="J46" t="e">
        <f>TRIM(#REF!)</f>
        <v>#REF!</v>
      </c>
      <c r="K46" t="e">
        <f>#REF!&amp;#REF!&amp;#REF!</f>
        <v>#REF!</v>
      </c>
      <c r="L46" t="str">
        <f>IFERROR(VLOOKUP(#REF!,工作表1!E:I,2,FALSE),"")</f>
        <v/>
      </c>
      <c r="M46" t="str">
        <f>IFERROR(VLOOKUP(#REF!,工作表1!E:I,3,FALSE),"")</f>
        <v/>
      </c>
      <c r="N46" t="str">
        <f>IFERROR(VLOOKUP(#REF!,工作表1!E:I,4,FALSE),"")</f>
        <v/>
      </c>
      <c r="O46" t="str">
        <f>IFERROR(VLOOKUP(#REF!,工作表1!E:I,5,FALSE),"")</f>
        <v/>
      </c>
      <c r="P46" t="s">
        <v>1046</v>
      </c>
      <c r="Q46" t="s">
        <v>480</v>
      </c>
      <c r="R46" t="s">
        <v>608</v>
      </c>
      <c r="T46" t="s">
        <v>792</v>
      </c>
      <c r="U46" t="s">
        <v>476</v>
      </c>
      <c r="V46" t="s">
        <v>655</v>
      </c>
      <c r="X46" t="s">
        <v>1046</v>
      </c>
      <c r="Y46" t="s">
        <v>504</v>
      </c>
      <c r="Z46" t="s">
        <v>508</v>
      </c>
      <c r="AB46" t="s">
        <v>1046</v>
      </c>
      <c r="AC46" t="s">
        <v>581</v>
      </c>
      <c r="AD46" t="s">
        <v>604</v>
      </c>
      <c r="AF46" t="s">
        <v>1047</v>
      </c>
      <c r="AG46" t="s">
        <v>504</v>
      </c>
      <c r="AH46" t="s">
        <v>604</v>
      </c>
      <c r="AJ46" t="s">
        <v>473</v>
      </c>
      <c r="AK46" t="s">
        <v>899</v>
      </c>
      <c r="AL46" t="s">
        <v>1048</v>
      </c>
      <c r="AM46" t="s">
        <v>606</v>
      </c>
      <c r="AN46" t="s">
        <v>529</v>
      </c>
      <c r="AO46" t="s">
        <v>668</v>
      </c>
      <c r="AP46" t="s">
        <v>770</v>
      </c>
      <c r="AQ46" t="s">
        <v>669</v>
      </c>
      <c r="AR46" t="s">
        <v>474</v>
      </c>
      <c r="AS46" t="s">
        <v>985</v>
      </c>
      <c r="AT46" t="s">
        <v>772</v>
      </c>
      <c r="AU46" t="s">
        <v>213</v>
      </c>
      <c r="AV46" t="s">
        <v>474</v>
      </c>
      <c r="AW46" t="s">
        <v>808</v>
      </c>
      <c r="AX46" t="s">
        <v>657</v>
      </c>
      <c r="AY46" t="s">
        <v>204</v>
      </c>
      <c r="AZ46" t="s">
        <v>519</v>
      </c>
      <c r="BA46" t="s">
        <v>515</v>
      </c>
      <c r="BB46" t="s">
        <v>1049</v>
      </c>
      <c r="BC46" t="s">
        <v>1050</v>
      </c>
      <c r="BD46">
        <v>1691</v>
      </c>
      <c r="BE46">
        <v>1652</v>
      </c>
      <c r="BF46">
        <v>1600</v>
      </c>
      <c r="BG46">
        <v>1544</v>
      </c>
      <c r="BH46">
        <v>1487</v>
      </c>
      <c r="BY46" t="s">
        <v>210</v>
      </c>
      <c r="BZ46" t="s">
        <v>211</v>
      </c>
      <c r="CA46" t="s">
        <v>489</v>
      </c>
      <c r="CB46" t="s">
        <v>215</v>
      </c>
      <c r="CC46" t="s">
        <v>630</v>
      </c>
      <c r="CD46" t="s">
        <v>195</v>
      </c>
      <c r="CE46" t="s">
        <v>210</v>
      </c>
      <c r="CF46" t="s">
        <v>208</v>
      </c>
      <c r="CG46" t="s">
        <v>489</v>
      </c>
      <c r="CH46" t="s">
        <v>216</v>
      </c>
      <c r="CI46" t="s">
        <v>630</v>
      </c>
      <c r="CJ46" t="s">
        <v>171</v>
      </c>
      <c r="CK46" t="s">
        <v>177</v>
      </c>
      <c r="CL46" t="s">
        <v>208</v>
      </c>
      <c r="CM46" t="s">
        <v>588</v>
      </c>
      <c r="CN46" t="s">
        <v>210</v>
      </c>
      <c r="CO46" t="s">
        <v>629</v>
      </c>
      <c r="CP46" t="s">
        <v>203</v>
      </c>
      <c r="CQ46" t="s">
        <v>205</v>
      </c>
      <c r="CR46" t="s">
        <v>486</v>
      </c>
      <c r="CS46" t="s">
        <v>187</v>
      </c>
      <c r="CT46" t="s">
        <v>177</v>
      </c>
      <c r="CU46" t="s">
        <v>629</v>
      </c>
      <c r="CV46" t="s">
        <v>187</v>
      </c>
      <c r="CW46" t="s">
        <v>216</v>
      </c>
      <c r="CX46" t="s">
        <v>208</v>
      </c>
      <c r="CY46" t="s">
        <v>187</v>
      </c>
      <c r="CZ46" t="s">
        <v>177</v>
      </c>
      <c r="DA46" t="s">
        <v>522</v>
      </c>
      <c r="DB46" t="s">
        <v>187</v>
      </c>
      <c r="DC46" t="s">
        <v>174</v>
      </c>
      <c r="DD46" t="s">
        <v>494</v>
      </c>
      <c r="DE46" t="s">
        <v>187</v>
      </c>
      <c r="DF46" t="s">
        <v>177</v>
      </c>
      <c r="DG46" t="s">
        <v>630</v>
      </c>
      <c r="DH46" t="s">
        <v>187</v>
      </c>
      <c r="FH46" t="s">
        <v>1051</v>
      </c>
    </row>
    <row r="47" spans="1:164" x14ac:dyDescent="0.25">
      <c r="A47">
        <v>4</v>
      </c>
      <c r="B47" t="s">
        <v>164</v>
      </c>
      <c r="C47">
        <v>46</v>
      </c>
      <c r="D47">
        <v>4601</v>
      </c>
      <c r="E47">
        <v>974737914</v>
      </c>
      <c r="F47" t="s">
        <v>165</v>
      </c>
      <c r="G47" t="s">
        <v>166</v>
      </c>
      <c r="H47" t="s">
        <v>167</v>
      </c>
      <c r="I47" t="s">
        <v>1052</v>
      </c>
      <c r="J47" t="e">
        <f>TRIM(#REF!)</f>
        <v>#REF!</v>
      </c>
      <c r="K47" t="e">
        <f>#REF!&amp;#REF!&amp;#REF!</f>
        <v>#REF!</v>
      </c>
      <c r="L47" t="str">
        <f>IFERROR(VLOOKUP(#REF!,工作表1!E:I,2,FALSE),"")</f>
        <v/>
      </c>
      <c r="M47" t="str">
        <f>IFERROR(VLOOKUP(#REF!,工作表1!E:I,3,FALSE),"")</f>
        <v/>
      </c>
      <c r="N47" t="str">
        <f>IFERROR(VLOOKUP(#REF!,工作表1!E:I,4,FALSE),"")</f>
        <v/>
      </c>
      <c r="O47" t="str">
        <f>IFERROR(VLOOKUP(#REF!,工作表1!E:I,5,FALSE),"")</f>
        <v/>
      </c>
      <c r="P47" t="s">
        <v>1053</v>
      </c>
      <c r="Q47" t="s">
        <v>182</v>
      </c>
      <c r="R47" t="s">
        <v>191</v>
      </c>
      <c r="T47" t="s">
        <v>1054</v>
      </c>
      <c r="U47" t="s">
        <v>182</v>
      </c>
      <c r="V47" t="s">
        <v>593</v>
      </c>
      <c r="X47" t="s">
        <v>1055</v>
      </c>
      <c r="Y47" t="s">
        <v>195</v>
      </c>
      <c r="Z47" t="s">
        <v>195</v>
      </c>
      <c r="AB47" t="s">
        <v>320</v>
      </c>
      <c r="AC47" t="s">
        <v>595</v>
      </c>
      <c r="AD47" t="s">
        <v>533</v>
      </c>
      <c r="AF47" t="s">
        <v>1056</v>
      </c>
      <c r="AG47" t="s">
        <v>187</v>
      </c>
      <c r="AH47" t="s">
        <v>474</v>
      </c>
      <c r="AJ47" t="s">
        <v>171</v>
      </c>
      <c r="AK47" t="s">
        <v>1057</v>
      </c>
      <c r="AL47" t="s">
        <v>597</v>
      </c>
      <c r="AM47" t="s">
        <v>522</v>
      </c>
      <c r="AN47" t="s">
        <v>588</v>
      </c>
      <c r="AO47" t="s">
        <v>1058</v>
      </c>
      <c r="AP47" t="s">
        <v>785</v>
      </c>
      <c r="AQ47" t="s">
        <v>351</v>
      </c>
      <c r="AR47" t="s">
        <v>588</v>
      </c>
      <c r="AS47" t="s">
        <v>1059</v>
      </c>
      <c r="AT47" t="s">
        <v>1060</v>
      </c>
      <c r="AU47" t="s">
        <v>389</v>
      </c>
      <c r="AV47" t="s">
        <v>171</v>
      </c>
      <c r="AW47" t="s">
        <v>1061</v>
      </c>
      <c r="AX47" t="s">
        <v>756</v>
      </c>
      <c r="AY47" t="s">
        <v>800</v>
      </c>
      <c r="AZ47" t="s">
        <v>191</v>
      </c>
      <c r="BA47" t="s">
        <v>760</v>
      </c>
      <c r="BB47" t="s">
        <v>991</v>
      </c>
      <c r="BC47" t="s">
        <v>305</v>
      </c>
      <c r="BD47">
        <v>1609</v>
      </c>
      <c r="BE47">
        <v>1572</v>
      </c>
      <c r="BF47">
        <v>1474</v>
      </c>
      <c r="BG47">
        <v>1488</v>
      </c>
      <c r="BH47">
        <v>1580</v>
      </c>
      <c r="BY47" t="s">
        <v>281</v>
      </c>
      <c r="BZ47" t="s">
        <v>202</v>
      </c>
      <c r="CA47" t="s">
        <v>217</v>
      </c>
      <c r="CB47" t="s">
        <v>207</v>
      </c>
      <c r="CC47" t="s">
        <v>557</v>
      </c>
      <c r="CD47" t="s">
        <v>217</v>
      </c>
      <c r="CG47" t="s">
        <v>556</v>
      </c>
      <c r="CH47" t="s">
        <v>281</v>
      </c>
      <c r="CI47" t="s">
        <v>497</v>
      </c>
      <c r="CJ47" t="s">
        <v>584</v>
      </c>
      <c r="CK47" t="s">
        <v>174</v>
      </c>
      <c r="CL47" t="s">
        <v>495</v>
      </c>
      <c r="CM47" t="s">
        <v>584</v>
      </c>
      <c r="CN47" t="s">
        <v>174</v>
      </c>
      <c r="CO47" t="s">
        <v>204</v>
      </c>
      <c r="CP47" t="s">
        <v>584</v>
      </c>
      <c r="CQ47" t="s">
        <v>177</v>
      </c>
      <c r="CR47" t="s">
        <v>213</v>
      </c>
      <c r="CS47" t="s">
        <v>582</v>
      </c>
      <c r="CT47" t="s">
        <v>281</v>
      </c>
      <c r="CU47" t="s">
        <v>213</v>
      </c>
      <c r="CV47" t="s">
        <v>582</v>
      </c>
      <c r="CW47" t="s">
        <v>281</v>
      </c>
      <c r="CX47" t="s">
        <v>497</v>
      </c>
      <c r="CY47" t="s">
        <v>726</v>
      </c>
      <c r="CZ47" t="s">
        <v>207</v>
      </c>
      <c r="DA47" t="s">
        <v>204</v>
      </c>
      <c r="DB47" t="s">
        <v>207</v>
      </c>
      <c r="DC47" t="s">
        <v>207</v>
      </c>
      <c r="DD47" t="s">
        <v>497</v>
      </c>
      <c r="DE47" t="s">
        <v>281</v>
      </c>
      <c r="DF47" t="s">
        <v>174</v>
      </c>
      <c r="DG47" t="s">
        <v>213</v>
      </c>
      <c r="DH47" t="s">
        <v>177</v>
      </c>
      <c r="FH47" t="s">
        <v>1062</v>
      </c>
    </row>
    <row r="48" spans="1:164" x14ac:dyDescent="0.25">
      <c r="A48">
        <v>4</v>
      </c>
      <c r="B48" t="s">
        <v>164</v>
      </c>
      <c r="C48">
        <v>46</v>
      </c>
      <c r="D48">
        <v>4601</v>
      </c>
      <c r="E48">
        <v>974738228</v>
      </c>
      <c r="F48" t="s">
        <v>165</v>
      </c>
      <c r="G48" t="s">
        <v>166</v>
      </c>
      <c r="H48" t="s">
        <v>167</v>
      </c>
      <c r="I48" t="s">
        <v>1063</v>
      </c>
      <c r="J48" t="e">
        <f>TRIM(#REF!)</f>
        <v>#REF!</v>
      </c>
      <c r="K48" t="e">
        <f>#REF!&amp;#REF!&amp;#REF!</f>
        <v>#REF!</v>
      </c>
      <c r="L48" t="str">
        <f>IFERROR(VLOOKUP(#REF!,工作表1!E:I,2,FALSE),"")</f>
        <v/>
      </c>
      <c r="M48" t="str">
        <f>IFERROR(VLOOKUP(#REF!,工作表1!E:I,3,FALSE),"")</f>
        <v/>
      </c>
      <c r="N48" t="str">
        <f>IFERROR(VLOOKUP(#REF!,工作表1!E:I,4,FALSE),"")</f>
        <v/>
      </c>
      <c r="O48" t="str">
        <f>IFERROR(VLOOKUP(#REF!,工作表1!E:I,5,FALSE),"")</f>
        <v/>
      </c>
      <c r="P48" t="s">
        <v>595</v>
      </c>
      <c r="Q48" t="s">
        <v>655</v>
      </c>
      <c r="R48" t="s">
        <v>604</v>
      </c>
      <c r="T48" t="s">
        <v>588</v>
      </c>
      <c r="U48" t="s">
        <v>508</v>
      </c>
      <c r="V48" t="s">
        <v>556</v>
      </c>
      <c r="X48" t="s">
        <v>612</v>
      </c>
      <c r="Y48" t="s">
        <v>604</v>
      </c>
      <c r="Z48" t="s">
        <v>604</v>
      </c>
      <c r="AB48" t="s">
        <v>191</v>
      </c>
      <c r="AC48" t="s">
        <v>604</v>
      </c>
      <c r="AD48" t="s">
        <v>604</v>
      </c>
      <c r="AF48" t="s">
        <v>217</v>
      </c>
      <c r="AG48" t="s">
        <v>604</v>
      </c>
      <c r="AH48" t="s">
        <v>604</v>
      </c>
      <c r="AJ48" t="s">
        <v>508</v>
      </c>
      <c r="AK48" t="s">
        <v>1064</v>
      </c>
      <c r="AL48" t="s">
        <v>633</v>
      </c>
      <c r="AM48" t="s">
        <v>990</v>
      </c>
      <c r="AN48" t="s">
        <v>508</v>
      </c>
      <c r="AO48" t="s">
        <v>190</v>
      </c>
      <c r="AP48" t="s">
        <v>266</v>
      </c>
      <c r="AQ48" t="s">
        <v>643</v>
      </c>
      <c r="AR48" t="s">
        <v>1065</v>
      </c>
      <c r="AS48" t="s">
        <v>186</v>
      </c>
      <c r="AT48" t="s">
        <v>629</v>
      </c>
      <c r="AU48" t="s">
        <v>497</v>
      </c>
      <c r="AV48" t="s">
        <v>508</v>
      </c>
      <c r="AW48" t="s">
        <v>190</v>
      </c>
      <c r="AX48" t="s">
        <v>351</v>
      </c>
      <c r="AY48" t="s">
        <v>990</v>
      </c>
      <c r="AZ48" t="s">
        <v>508</v>
      </c>
      <c r="BA48" t="s">
        <v>800</v>
      </c>
      <c r="BB48" t="s">
        <v>631</v>
      </c>
      <c r="BD48">
        <v>1123</v>
      </c>
      <c r="BE48">
        <v>1262</v>
      </c>
      <c r="BF48">
        <v>1068</v>
      </c>
      <c r="BG48">
        <v>1090</v>
      </c>
      <c r="BH48">
        <v>1089</v>
      </c>
      <c r="BY48" t="s">
        <v>604</v>
      </c>
      <c r="BZ48" t="s">
        <v>604</v>
      </c>
      <c r="CA48" t="s">
        <v>604</v>
      </c>
      <c r="CB48" t="s">
        <v>604</v>
      </c>
      <c r="CC48" t="s">
        <v>604</v>
      </c>
      <c r="CD48" t="s">
        <v>604</v>
      </c>
      <c r="CE48" t="s">
        <v>604</v>
      </c>
      <c r="CF48" t="s">
        <v>604</v>
      </c>
      <c r="CG48" t="s">
        <v>604</v>
      </c>
      <c r="CH48" t="s">
        <v>604</v>
      </c>
      <c r="CI48" t="s">
        <v>604</v>
      </c>
      <c r="CJ48" t="s">
        <v>604</v>
      </c>
      <c r="CK48" t="s">
        <v>604</v>
      </c>
      <c r="CL48" t="s">
        <v>604</v>
      </c>
      <c r="CM48" t="s">
        <v>604</v>
      </c>
      <c r="CN48" t="s">
        <v>604</v>
      </c>
      <c r="CO48" t="s">
        <v>604</v>
      </c>
      <c r="CP48" t="s">
        <v>604</v>
      </c>
      <c r="CQ48" t="s">
        <v>604</v>
      </c>
      <c r="CR48" t="s">
        <v>604</v>
      </c>
      <c r="CS48" t="s">
        <v>604</v>
      </c>
      <c r="CT48" t="s">
        <v>604</v>
      </c>
      <c r="CU48" t="s">
        <v>604</v>
      </c>
      <c r="CV48" t="s">
        <v>604</v>
      </c>
      <c r="CW48" t="s">
        <v>604</v>
      </c>
      <c r="CX48" t="s">
        <v>604</v>
      </c>
      <c r="CY48" t="s">
        <v>604</v>
      </c>
      <c r="CZ48" t="s">
        <v>604</v>
      </c>
      <c r="DA48" t="s">
        <v>604</v>
      </c>
      <c r="DB48" t="s">
        <v>604</v>
      </c>
      <c r="DC48" t="s">
        <v>604</v>
      </c>
      <c r="DD48" t="s">
        <v>604</v>
      </c>
      <c r="DE48" t="s">
        <v>604</v>
      </c>
      <c r="DF48" t="s">
        <v>604</v>
      </c>
      <c r="DG48" t="s">
        <v>604</v>
      </c>
      <c r="DH48" t="s">
        <v>604</v>
      </c>
      <c r="FH48" t="s">
        <v>1066</v>
      </c>
    </row>
    <row r="49" spans="1:164" x14ac:dyDescent="0.25">
      <c r="A49">
        <v>4</v>
      </c>
      <c r="B49" t="s">
        <v>164</v>
      </c>
      <c r="C49">
        <v>46</v>
      </c>
      <c r="D49">
        <v>4601</v>
      </c>
      <c r="E49">
        <v>974737922</v>
      </c>
      <c r="F49" t="s">
        <v>165</v>
      </c>
      <c r="G49" t="s">
        <v>166</v>
      </c>
      <c r="H49" t="s">
        <v>167</v>
      </c>
      <c r="I49" t="s">
        <v>1067</v>
      </c>
      <c r="J49" t="e">
        <f>TRIM(#REF!)</f>
        <v>#REF!</v>
      </c>
      <c r="K49" t="e">
        <f>#REF!&amp;#REF!&amp;#REF!</f>
        <v>#REF!</v>
      </c>
      <c r="L49" t="str">
        <f>IFERROR(VLOOKUP(#REF!,工作表1!E:I,2,FALSE),"")</f>
        <v/>
      </c>
      <c r="M49" t="str">
        <f>IFERROR(VLOOKUP(#REF!,工作表1!E:I,3,FALSE),"")</f>
        <v/>
      </c>
      <c r="N49" t="str">
        <f>IFERROR(VLOOKUP(#REF!,工作表1!E:I,4,FALSE),"")</f>
        <v/>
      </c>
      <c r="O49" t="str">
        <f>IFERROR(VLOOKUP(#REF!,工作表1!E:I,5,FALSE),"")</f>
        <v/>
      </c>
      <c r="P49" t="s">
        <v>1068</v>
      </c>
      <c r="Q49" t="s">
        <v>504</v>
      </c>
      <c r="R49" t="s">
        <v>480</v>
      </c>
      <c r="T49" t="s">
        <v>1069</v>
      </c>
      <c r="U49" t="s">
        <v>502</v>
      </c>
      <c r="V49" t="s">
        <v>473</v>
      </c>
      <c r="X49" t="s">
        <v>933</v>
      </c>
      <c r="Y49" t="s">
        <v>580</v>
      </c>
      <c r="Z49" t="s">
        <v>473</v>
      </c>
      <c r="AB49" t="s">
        <v>1070</v>
      </c>
      <c r="AC49" t="s">
        <v>173</v>
      </c>
      <c r="AD49" t="s">
        <v>187</v>
      </c>
      <c r="AF49" t="s">
        <v>1071</v>
      </c>
      <c r="AG49" t="s">
        <v>173</v>
      </c>
      <c r="AH49" t="s">
        <v>512</v>
      </c>
      <c r="AJ49" t="s">
        <v>474</v>
      </c>
      <c r="AK49" t="s">
        <v>1072</v>
      </c>
      <c r="AL49" t="s">
        <v>716</v>
      </c>
      <c r="AM49" t="s">
        <v>194</v>
      </c>
      <c r="AN49" t="s">
        <v>474</v>
      </c>
      <c r="AO49" t="s">
        <v>805</v>
      </c>
      <c r="AP49" t="s">
        <v>715</v>
      </c>
      <c r="AQ49" t="s">
        <v>632</v>
      </c>
      <c r="AR49" t="s">
        <v>512</v>
      </c>
      <c r="AS49" t="s">
        <v>659</v>
      </c>
      <c r="AT49" t="s">
        <v>1073</v>
      </c>
      <c r="AU49" t="s">
        <v>1064</v>
      </c>
      <c r="AV49" t="s">
        <v>533</v>
      </c>
      <c r="AW49" t="s">
        <v>521</v>
      </c>
      <c r="AX49" t="s">
        <v>984</v>
      </c>
      <c r="AY49" t="s">
        <v>623</v>
      </c>
      <c r="AZ49" t="s">
        <v>474</v>
      </c>
      <c r="BA49" t="s">
        <v>713</v>
      </c>
      <c r="BB49" t="s">
        <v>714</v>
      </c>
      <c r="BC49" t="s">
        <v>626</v>
      </c>
      <c r="BD49">
        <v>1512</v>
      </c>
      <c r="BE49">
        <v>1600</v>
      </c>
      <c r="BF49">
        <v>1415</v>
      </c>
      <c r="BG49">
        <v>1609</v>
      </c>
      <c r="BH49">
        <v>1476</v>
      </c>
      <c r="BY49" t="s">
        <v>174</v>
      </c>
      <c r="BZ49" t="s">
        <v>186</v>
      </c>
      <c r="CA49" t="s">
        <v>489</v>
      </c>
      <c r="CB49" t="s">
        <v>205</v>
      </c>
      <c r="CC49" t="s">
        <v>198</v>
      </c>
      <c r="CD49" t="s">
        <v>489</v>
      </c>
      <c r="CE49" t="s">
        <v>281</v>
      </c>
      <c r="CF49" t="s">
        <v>208</v>
      </c>
      <c r="CG49" t="s">
        <v>489</v>
      </c>
      <c r="CH49" t="s">
        <v>177</v>
      </c>
      <c r="CI49" t="s">
        <v>633</v>
      </c>
      <c r="CJ49" t="s">
        <v>474</v>
      </c>
      <c r="CK49" t="s">
        <v>281</v>
      </c>
      <c r="CL49" t="s">
        <v>486</v>
      </c>
      <c r="CM49" t="s">
        <v>529</v>
      </c>
      <c r="CN49" t="s">
        <v>582</v>
      </c>
      <c r="CO49" t="s">
        <v>522</v>
      </c>
      <c r="CP49" t="s">
        <v>474</v>
      </c>
      <c r="CQ49" t="s">
        <v>177</v>
      </c>
      <c r="CR49" t="s">
        <v>486</v>
      </c>
      <c r="CS49" t="s">
        <v>612</v>
      </c>
      <c r="CT49" t="s">
        <v>216</v>
      </c>
      <c r="CU49" t="s">
        <v>202</v>
      </c>
      <c r="CV49" t="s">
        <v>182</v>
      </c>
      <c r="CW49" t="s">
        <v>216</v>
      </c>
      <c r="CX49" t="s">
        <v>486</v>
      </c>
      <c r="CY49" t="s">
        <v>489</v>
      </c>
      <c r="CZ49" t="s">
        <v>217</v>
      </c>
      <c r="DA49" t="s">
        <v>213</v>
      </c>
      <c r="DB49" t="s">
        <v>203</v>
      </c>
      <c r="DC49" t="s">
        <v>216</v>
      </c>
      <c r="DD49" t="s">
        <v>557</v>
      </c>
      <c r="DE49" t="s">
        <v>588</v>
      </c>
      <c r="DF49" t="s">
        <v>215</v>
      </c>
      <c r="DG49" t="s">
        <v>557</v>
      </c>
      <c r="DH49" t="s">
        <v>203</v>
      </c>
      <c r="FH49" t="s">
        <v>1074</v>
      </c>
    </row>
    <row r="50" spans="1:164" x14ac:dyDescent="0.25">
      <c r="A50">
        <v>4</v>
      </c>
      <c r="B50" t="s">
        <v>164</v>
      </c>
      <c r="C50">
        <v>46</v>
      </c>
      <c r="D50">
        <v>4601</v>
      </c>
      <c r="E50">
        <v>874738042</v>
      </c>
      <c r="F50" t="s">
        <v>165</v>
      </c>
      <c r="G50" t="s">
        <v>166</v>
      </c>
      <c r="H50" t="s">
        <v>167</v>
      </c>
      <c r="I50" t="s">
        <v>1075</v>
      </c>
      <c r="J50" t="e">
        <f>TRIM(#REF!)</f>
        <v>#REF!</v>
      </c>
      <c r="K50" t="e">
        <f>#REF!&amp;#REF!&amp;#REF!</f>
        <v>#REF!</v>
      </c>
      <c r="L50" t="str">
        <f>IFERROR(VLOOKUP(#REF!,工作表1!E:I,2,FALSE),"")</f>
        <v/>
      </c>
      <c r="M50" t="str">
        <f>IFERROR(VLOOKUP(#REF!,工作表1!E:I,3,FALSE),"")</f>
        <v/>
      </c>
      <c r="N50" t="str">
        <f>IFERROR(VLOOKUP(#REF!,工作表1!E:I,4,FALSE),"")</f>
        <v/>
      </c>
      <c r="O50" t="str">
        <f>IFERROR(VLOOKUP(#REF!,工作表1!E:I,5,FALSE),"")</f>
        <v/>
      </c>
      <c r="P50" t="s">
        <v>907</v>
      </c>
      <c r="Q50" t="s">
        <v>519</v>
      </c>
      <c r="R50" t="s">
        <v>524</v>
      </c>
      <c r="T50" t="s">
        <v>697</v>
      </c>
      <c r="U50" t="s">
        <v>489</v>
      </c>
      <c r="V50" t="s">
        <v>210</v>
      </c>
      <c r="X50" t="s">
        <v>1076</v>
      </c>
      <c r="Y50" t="s">
        <v>171</v>
      </c>
      <c r="Z50" t="s">
        <v>203</v>
      </c>
      <c r="AB50" t="s">
        <v>1077</v>
      </c>
      <c r="AC50" t="s">
        <v>524</v>
      </c>
      <c r="AD50" t="s">
        <v>205</v>
      </c>
      <c r="AF50" t="s">
        <v>1078</v>
      </c>
      <c r="AG50" t="s">
        <v>489</v>
      </c>
      <c r="AH50" t="s">
        <v>177</v>
      </c>
      <c r="AJ50" t="s">
        <v>191</v>
      </c>
      <c r="AK50" t="s">
        <v>762</v>
      </c>
      <c r="AL50" t="s">
        <v>487</v>
      </c>
      <c r="AM50" t="s">
        <v>560</v>
      </c>
      <c r="AN50" t="s">
        <v>588</v>
      </c>
      <c r="AO50" t="s">
        <v>1079</v>
      </c>
      <c r="AP50" t="s">
        <v>1080</v>
      </c>
      <c r="AQ50" t="s">
        <v>202</v>
      </c>
      <c r="AR50" t="s">
        <v>524</v>
      </c>
      <c r="AS50" t="s">
        <v>812</v>
      </c>
      <c r="AT50" t="s">
        <v>1081</v>
      </c>
      <c r="AU50" t="s">
        <v>522</v>
      </c>
      <c r="AV50" t="s">
        <v>203</v>
      </c>
      <c r="AW50" t="s">
        <v>851</v>
      </c>
      <c r="AX50" t="s">
        <v>1082</v>
      </c>
      <c r="AY50" t="s">
        <v>206</v>
      </c>
      <c r="AZ50" t="s">
        <v>203</v>
      </c>
      <c r="BA50" t="s">
        <v>961</v>
      </c>
      <c r="BB50" t="s">
        <v>1083</v>
      </c>
      <c r="BC50" t="s">
        <v>211</v>
      </c>
      <c r="BD50">
        <v>1665</v>
      </c>
      <c r="BE50">
        <v>1709</v>
      </c>
      <c r="BF50">
        <v>1299</v>
      </c>
      <c r="BG50">
        <v>1705</v>
      </c>
      <c r="BH50">
        <v>1763</v>
      </c>
      <c r="BI50" t="s">
        <v>349</v>
      </c>
      <c r="BJ50" t="s">
        <v>350</v>
      </c>
      <c r="BK50" t="s">
        <v>263</v>
      </c>
      <c r="BL50" t="s">
        <v>480</v>
      </c>
      <c r="BM50" t="s">
        <v>266</v>
      </c>
      <c r="BN50" t="s">
        <v>170</v>
      </c>
      <c r="BO50" t="s">
        <v>633</v>
      </c>
      <c r="BP50" t="s">
        <v>173</v>
      </c>
      <c r="BQ50" t="s">
        <v>190</v>
      </c>
      <c r="BR50" t="s">
        <v>529</v>
      </c>
      <c r="BS50" t="s">
        <v>437</v>
      </c>
      <c r="BT50" t="s">
        <v>586</v>
      </c>
      <c r="BU50" t="s">
        <v>846</v>
      </c>
      <c r="BV50" t="s">
        <v>1027</v>
      </c>
      <c r="BW50" t="s">
        <v>433</v>
      </c>
      <c r="BX50" t="s">
        <v>676</v>
      </c>
      <c r="BY50" t="s">
        <v>216</v>
      </c>
      <c r="BZ50" t="s">
        <v>266</v>
      </c>
      <c r="CA50" t="s">
        <v>170</v>
      </c>
      <c r="CD50" t="s">
        <v>556</v>
      </c>
      <c r="CG50" t="s">
        <v>556</v>
      </c>
      <c r="CH50" t="s">
        <v>216</v>
      </c>
      <c r="CI50" t="s">
        <v>494</v>
      </c>
      <c r="CJ50" t="s">
        <v>182</v>
      </c>
      <c r="CK50" t="s">
        <v>217</v>
      </c>
      <c r="CL50" t="s">
        <v>494</v>
      </c>
      <c r="CM50" t="s">
        <v>612</v>
      </c>
      <c r="CN50" t="s">
        <v>525</v>
      </c>
      <c r="CO50" t="s">
        <v>630</v>
      </c>
      <c r="CP50" t="s">
        <v>182</v>
      </c>
      <c r="CQ50" t="s">
        <v>177</v>
      </c>
      <c r="CR50" t="s">
        <v>630</v>
      </c>
      <c r="CS50" t="s">
        <v>533</v>
      </c>
      <c r="CT50" t="s">
        <v>525</v>
      </c>
      <c r="CU50" t="s">
        <v>494</v>
      </c>
      <c r="CV50" t="s">
        <v>474</v>
      </c>
      <c r="CW50" t="s">
        <v>210</v>
      </c>
      <c r="CX50" t="s">
        <v>186</v>
      </c>
      <c r="CY50" t="s">
        <v>533</v>
      </c>
      <c r="CZ50" t="s">
        <v>174</v>
      </c>
      <c r="DA50" t="s">
        <v>721</v>
      </c>
      <c r="DB50" t="s">
        <v>512</v>
      </c>
      <c r="DC50" t="s">
        <v>525</v>
      </c>
      <c r="DD50" t="s">
        <v>629</v>
      </c>
      <c r="DE50" t="s">
        <v>512</v>
      </c>
      <c r="DF50" t="s">
        <v>210</v>
      </c>
      <c r="DG50" t="s">
        <v>198</v>
      </c>
      <c r="DH50" t="s">
        <v>512</v>
      </c>
      <c r="DI50" t="s">
        <v>210</v>
      </c>
      <c r="DJ50" t="s">
        <v>721</v>
      </c>
      <c r="DK50" t="s">
        <v>529</v>
      </c>
      <c r="DN50" t="s">
        <v>556</v>
      </c>
      <c r="DO50" t="s">
        <v>177</v>
      </c>
      <c r="DP50" t="s">
        <v>669</v>
      </c>
      <c r="DQ50" t="s">
        <v>678</v>
      </c>
      <c r="DR50" t="s">
        <v>207</v>
      </c>
      <c r="DS50" t="s">
        <v>566</v>
      </c>
      <c r="DT50" t="s">
        <v>818</v>
      </c>
      <c r="DU50" t="s">
        <v>215</v>
      </c>
      <c r="DV50" t="s">
        <v>669</v>
      </c>
      <c r="DW50" t="s">
        <v>682</v>
      </c>
      <c r="DX50" t="s">
        <v>216</v>
      </c>
      <c r="DY50" t="s">
        <v>669</v>
      </c>
      <c r="DZ50" t="s">
        <v>687</v>
      </c>
      <c r="EA50" t="s">
        <v>207</v>
      </c>
      <c r="EB50" t="s">
        <v>566</v>
      </c>
      <c r="EC50" t="s">
        <v>728</v>
      </c>
      <c r="ED50" t="s">
        <v>210</v>
      </c>
      <c r="EE50" t="s">
        <v>495</v>
      </c>
      <c r="EF50" t="s">
        <v>727</v>
      </c>
      <c r="EG50" t="s">
        <v>525</v>
      </c>
      <c r="EH50" t="s">
        <v>495</v>
      </c>
      <c r="EI50" t="s">
        <v>727</v>
      </c>
      <c r="EJ50" t="s">
        <v>281</v>
      </c>
      <c r="EK50" t="s">
        <v>566</v>
      </c>
      <c r="EL50" t="s">
        <v>692</v>
      </c>
      <c r="EM50" t="s">
        <v>210</v>
      </c>
      <c r="EN50" t="s">
        <v>644</v>
      </c>
      <c r="EO50" t="s">
        <v>732</v>
      </c>
      <c r="EP50" t="s">
        <v>177</v>
      </c>
      <c r="EQ50" t="s">
        <v>301</v>
      </c>
      <c r="ER50" t="s">
        <v>1043</v>
      </c>
      <c r="ES50" t="s">
        <v>731</v>
      </c>
      <c r="ET50" t="s">
        <v>731</v>
      </c>
      <c r="EU50" t="s">
        <v>687</v>
      </c>
      <c r="EV50" t="s">
        <v>300</v>
      </c>
      <c r="EW50" t="s">
        <v>731</v>
      </c>
      <c r="EX50" t="s">
        <v>722</v>
      </c>
      <c r="EY50">
        <v>80</v>
      </c>
      <c r="EZ50">
        <v>40</v>
      </c>
      <c r="FA50" t="s">
        <v>727</v>
      </c>
      <c r="FB50" t="s">
        <v>605</v>
      </c>
      <c r="FC50" t="s">
        <v>305</v>
      </c>
      <c r="FD50" t="s">
        <v>730</v>
      </c>
      <c r="FE50">
        <v>90</v>
      </c>
      <c r="FF50">
        <v>60</v>
      </c>
      <c r="FG50" t="s">
        <v>687</v>
      </c>
      <c r="FH50" t="s">
        <v>1084</v>
      </c>
    </row>
    <row r="51" spans="1:164" x14ac:dyDescent="0.25">
      <c r="A51">
        <v>4</v>
      </c>
      <c r="B51" t="s">
        <v>164</v>
      </c>
      <c r="C51">
        <v>46</v>
      </c>
      <c r="D51">
        <v>4601</v>
      </c>
      <c r="E51">
        <v>874738042</v>
      </c>
      <c r="F51" t="s">
        <v>165</v>
      </c>
      <c r="G51" t="s">
        <v>166</v>
      </c>
      <c r="H51" t="s">
        <v>167</v>
      </c>
      <c r="I51" t="s">
        <v>1075</v>
      </c>
      <c r="J51" t="e">
        <f>TRIM(#REF!)</f>
        <v>#REF!</v>
      </c>
      <c r="K51" t="e">
        <f>#REF!&amp;#REF!&amp;#REF!</f>
        <v>#REF!</v>
      </c>
      <c r="L51" t="str">
        <f>IFERROR(VLOOKUP(#REF!,工作表1!E:I,2,FALSE),"")</f>
        <v/>
      </c>
      <c r="M51" t="str">
        <f>IFERROR(VLOOKUP(#REF!,工作表1!E:I,3,FALSE),"")</f>
        <v/>
      </c>
      <c r="N51" t="str">
        <f>IFERROR(VLOOKUP(#REF!,工作表1!E:I,4,FALSE),"")</f>
        <v/>
      </c>
      <c r="O51" t="str">
        <f>IFERROR(VLOOKUP(#REF!,工作表1!E:I,5,FALSE),"")</f>
        <v/>
      </c>
      <c r="P51" t="s">
        <v>907</v>
      </c>
      <c r="Q51" t="s">
        <v>519</v>
      </c>
      <c r="R51" t="s">
        <v>524</v>
      </c>
      <c r="T51" t="s">
        <v>697</v>
      </c>
      <c r="U51" t="s">
        <v>489</v>
      </c>
      <c r="V51" t="s">
        <v>210</v>
      </c>
      <c r="X51" t="s">
        <v>1076</v>
      </c>
      <c r="Y51" t="s">
        <v>171</v>
      </c>
      <c r="Z51" t="s">
        <v>203</v>
      </c>
      <c r="AB51" t="s">
        <v>1077</v>
      </c>
      <c r="AC51" t="s">
        <v>524</v>
      </c>
      <c r="AD51" t="s">
        <v>205</v>
      </c>
      <c r="AF51" t="s">
        <v>1078</v>
      </c>
      <c r="AG51" t="s">
        <v>489</v>
      </c>
      <c r="AH51" t="s">
        <v>177</v>
      </c>
      <c r="AJ51" t="s">
        <v>191</v>
      </c>
      <c r="AK51" t="s">
        <v>762</v>
      </c>
      <c r="AL51" t="s">
        <v>487</v>
      </c>
      <c r="AM51" t="s">
        <v>560</v>
      </c>
      <c r="AN51" t="s">
        <v>588</v>
      </c>
      <c r="AO51" t="s">
        <v>1079</v>
      </c>
      <c r="AP51" t="s">
        <v>1080</v>
      </c>
      <c r="AQ51" t="s">
        <v>202</v>
      </c>
      <c r="AR51" t="s">
        <v>524</v>
      </c>
      <c r="AS51" t="s">
        <v>812</v>
      </c>
      <c r="AT51" t="s">
        <v>1081</v>
      </c>
      <c r="AU51" t="s">
        <v>522</v>
      </c>
      <c r="AV51" t="s">
        <v>203</v>
      </c>
      <c r="AW51" t="s">
        <v>851</v>
      </c>
      <c r="AX51" t="s">
        <v>1082</v>
      </c>
      <c r="AY51" t="s">
        <v>206</v>
      </c>
      <c r="AZ51" t="s">
        <v>203</v>
      </c>
      <c r="BA51" t="s">
        <v>961</v>
      </c>
      <c r="BB51" t="s">
        <v>1083</v>
      </c>
      <c r="BC51" t="s">
        <v>211</v>
      </c>
      <c r="BD51">
        <v>1665</v>
      </c>
      <c r="BE51">
        <v>1709</v>
      </c>
      <c r="BF51">
        <v>1299</v>
      </c>
      <c r="BG51">
        <v>1705</v>
      </c>
      <c r="BH51">
        <v>1763</v>
      </c>
      <c r="BI51" t="s">
        <v>261</v>
      </c>
      <c r="BJ51" t="s">
        <v>262</v>
      </c>
      <c r="BK51" t="s">
        <v>263</v>
      </c>
      <c r="BL51" t="s">
        <v>1027</v>
      </c>
      <c r="BM51" t="s">
        <v>550</v>
      </c>
      <c r="BN51" t="s">
        <v>586</v>
      </c>
      <c r="BO51" t="s">
        <v>186</v>
      </c>
      <c r="BP51" t="s">
        <v>729</v>
      </c>
      <c r="BQ51" t="s">
        <v>351</v>
      </c>
      <c r="BR51" t="s">
        <v>833</v>
      </c>
      <c r="BS51" t="s">
        <v>437</v>
      </c>
      <c r="BT51" t="s">
        <v>586</v>
      </c>
      <c r="BU51" t="s">
        <v>846</v>
      </c>
      <c r="BV51" t="s">
        <v>1027</v>
      </c>
      <c r="BW51" t="s">
        <v>433</v>
      </c>
      <c r="BX51" t="s">
        <v>676</v>
      </c>
      <c r="BY51" t="s">
        <v>216</v>
      </c>
      <c r="BZ51" t="s">
        <v>266</v>
      </c>
      <c r="CA51" t="s">
        <v>170</v>
      </c>
      <c r="CD51" t="s">
        <v>556</v>
      </c>
      <c r="CG51" t="s">
        <v>556</v>
      </c>
      <c r="CH51" t="s">
        <v>216</v>
      </c>
      <c r="CI51" t="s">
        <v>494</v>
      </c>
      <c r="CJ51" t="s">
        <v>182</v>
      </c>
      <c r="CK51" t="s">
        <v>217</v>
      </c>
      <c r="CL51" t="s">
        <v>494</v>
      </c>
      <c r="CM51" t="s">
        <v>612</v>
      </c>
      <c r="CN51" t="s">
        <v>525</v>
      </c>
      <c r="CO51" t="s">
        <v>630</v>
      </c>
      <c r="CP51" t="s">
        <v>182</v>
      </c>
      <c r="CQ51" t="s">
        <v>177</v>
      </c>
      <c r="CR51" t="s">
        <v>630</v>
      </c>
      <c r="CS51" t="s">
        <v>533</v>
      </c>
      <c r="CT51" t="s">
        <v>525</v>
      </c>
      <c r="CU51" t="s">
        <v>494</v>
      </c>
      <c r="CV51" t="s">
        <v>474</v>
      </c>
      <c r="CW51" t="s">
        <v>210</v>
      </c>
      <c r="CX51" t="s">
        <v>186</v>
      </c>
      <c r="CY51" t="s">
        <v>533</v>
      </c>
      <c r="CZ51" t="s">
        <v>174</v>
      </c>
      <c r="DA51" t="s">
        <v>721</v>
      </c>
      <c r="DB51" t="s">
        <v>512</v>
      </c>
      <c r="DC51" t="s">
        <v>525</v>
      </c>
      <c r="DD51" t="s">
        <v>629</v>
      </c>
      <c r="DE51" t="s">
        <v>512</v>
      </c>
      <c r="DF51" t="s">
        <v>210</v>
      </c>
      <c r="DG51" t="s">
        <v>198</v>
      </c>
      <c r="DH51" t="s">
        <v>512</v>
      </c>
      <c r="DI51" t="s">
        <v>210</v>
      </c>
      <c r="DJ51" t="s">
        <v>721</v>
      </c>
      <c r="DK51" t="s">
        <v>529</v>
      </c>
      <c r="DN51" t="s">
        <v>556</v>
      </c>
      <c r="DO51" t="s">
        <v>177</v>
      </c>
      <c r="DP51" t="s">
        <v>669</v>
      </c>
      <c r="DQ51" t="s">
        <v>678</v>
      </c>
      <c r="DR51" t="s">
        <v>207</v>
      </c>
      <c r="DS51" t="s">
        <v>566</v>
      </c>
      <c r="DT51" t="s">
        <v>818</v>
      </c>
      <c r="DU51" t="s">
        <v>215</v>
      </c>
      <c r="DV51" t="s">
        <v>669</v>
      </c>
      <c r="DW51" t="s">
        <v>682</v>
      </c>
      <c r="DX51" t="s">
        <v>216</v>
      </c>
      <c r="DY51" t="s">
        <v>669</v>
      </c>
      <c r="DZ51" t="s">
        <v>687</v>
      </c>
      <c r="EA51" t="s">
        <v>207</v>
      </c>
      <c r="EB51" t="s">
        <v>566</v>
      </c>
      <c r="EC51" t="s">
        <v>728</v>
      </c>
      <c r="ED51" t="s">
        <v>210</v>
      </c>
      <c r="EE51" t="s">
        <v>495</v>
      </c>
      <c r="EF51" t="s">
        <v>727</v>
      </c>
      <c r="EG51" t="s">
        <v>525</v>
      </c>
      <c r="EH51" t="s">
        <v>495</v>
      </c>
      <c r="EI51" t="s">
        <v>727</v>
      </c>
      <c r="EJ51" t="s">
        <v>281</v>
      </c>
      <c r="EK51" t="s">
        <v>566</v>
      </c>
      <c r="EL51" t="s">
        <v>692</v>
      </c>
      <c r="EM51" t="s">
        <v>210</v>
      </c>
      <c r="EN51" t="s">
        <v>644</v>
      </c>
      <c r="EO51" t="s">
        <v>732</v>
      </c>
      <c r="EP51" t="s">
        <v>177</v>
      </c>
      <c r="EQ51" t="s">
        <v>301</v>
      </c>
      <c r="ER51" t="s">
        <v>1043</v>
      </c>
      <c r="ES51" t="s">
        <v>731</v>
      </c>
      <c r="ET51" t="s">
        <v>731</v>
      </c>
      <c r="EU51" t="s">
        <v>687</v>
      </c>
      <c r="EV51" t="s">
        <v>300</v>
      </c>
      <c r="EW51" t="s">
        <v>731</v>
      </c>
      <c r="EX51" t="s">
        <v>722</v>
      </c>
      <c r="EY51">
        <v>80</v>
      </c>
      <c r="EZ51">
        <v>40</v>
      </c>
      <c r="FA51" t="s">
        <v>727</v>
      </c>
      <c r="FB51" t="s">
        <v>605</v>
      </c>
      <c r="FC51" t="s">
        <v>305</v>
      </c>
      <c r="FD51" t="s">
        <v>730</v>
      </c>
      <c r="FE51">
        <v>90</v>
      </c>
      <c r="FF51">
        <v>60</v>
      </c>
      <c r="FG51" t="s">
        <v>687</v>
      </c>
      <c r="FH51" t="s">
        <v>1084</v>
      </c>
    </row>
    <row r="52" spans="1:164" x14ac:dyDescent="0.25">
      <c r="A52">
        <v>4</v>
      </c>
      <c r="B52" t="s">
        <v>164</v>
      </c>
      <c r="C52">
        <v>46</v>
      </c>
      <c r="D52">
        <v>4601</v>
      </c>
      <c r="E52">
        <v>974737868</v>
      </c>
      <c r="F52" t="s">
        <v>165</v>
      </c>
      <c r="G52" t="s">
        <v>166</v>
      </c>
      <c r="H52" t="s">
        <v>167</v>
      </c>
      <c r="I52" t="s">
        <v>1085</v>
      </c>
      <c r="J52" t="e">
        <f>TRIM(#REF!)</f>
        <v>#REF!</v>
      </c>
      <c r="K52" t="e">
        <f>#REF!&amp;#REF!&amp;#REF!</f>
        <v>#REF!</v>
      </c>
      <c r="L52" t="str">
        <f>IFERROR(VLOOKUP(#REF!,工作表1!E:I,2,FALSE),"")</f>
        <v/>
      </c>
      <c r="M52" t="str">
        <f>IFERROR(VLOOKUP(#REF!,工作表1!E:I,3,FALSE),"")</f>
        <v/>
      </c>
      <c r="N52" t="str">
        <f>IFERROR(VLOOKUP(#REF!,工作表1!E:I,4,FALSE),"")</f>
        <v/>
      </c>
      <c r="O52" t="str">
        <f>IFERROR(VLOOKUP(#REF!,工作表1!E:I,5,FALSE),"")</f>
        <v/>
      </c>
      <c r="P52" t="s">
        <v>1086</v>
      </c>
      <c r="Q52" t="s">
        <v>212</v>
      </c>
      <c r="R52" t="s">
        <v>182</v>
      </c>
      <c r="T52" t="s">
        <v>1087</v>
      </c>
      <c r="U52" t="s">
        <v>519</v>
      </c>
      <c r="V52" t="s">
        <v>593</v>
      </c>
      <c r="X52" t="s">
        <v>1088</v>
      </c>
      <c r="Y52" t="s">
        <v>595</v>
      </c>
      <c r="Z52" t="s">
        <v>523</v>
      </c>
      <c r="AB52" t="s">
        <v>1089</v>
      </c>
      <c r="AC52" t="s">
        <v>524</v>
      </c>
      <c r="AD52" t="s">
        <v>177</v>
      </c>
      <c r="AF52" t="s">
        <v>1090</v>
      </c>
      <c r="AG52" t="s">
        <v>203</v>
      </c>
      <c r="AH52" t="s">
        <v>201</v>
      </c>
      <c r="AJ52" t="s">
        <v>215</v>
      </c>
      <c r="AK52" t="s">
        <v>830</v>
      </c>
      <c r="AL52" t="s">
        <v>832</v>
      </c>
      <c r="AM52" t="s">
        <v>1091</v>
      </c>
      <c r="AN52" t="s">
        <v>217</v>
      </c>
      <c r="AO52" t="s">
        <v>1092</v>
      </c>
      <c r="AP52" t="s">
        <v>1093</v>
      </c>
      <c r="AQ52" t="s">
        <v>645</v>
      </c>
      <c r="AR52" t="s">
        <v>525</v>
      </c>
      <c r="AS52" t="s">
        <v>846</v>
      </c>
      <c r="AT52" t="s">
        <v>1094</v>
      </c>
      <c r="AU52" t="s">
        <v>1095</v>
      </c>
      <c r="AV52" t="s">
        <v>209</v>
      </c>
      <c r="AW52" t="s">
        <v>823</v>
      </c>
      <c r="AX52" t="s">
        <v>1096</v>
      </c>
      <c r="AY52" t="s">
        <v>1097</v>
      </c>
      <c r="AZ52" t="s">
        <v>209</v>
      </c>
      <c r="BA52" t="s">
        <v>846</v>
      </c>
      <c r="BB52" t="s">
        <v>964</v>
      </c>
      <c r="BC52" t="s">
        <v>1098</v>
      </c>
      <c r="BD52">
        <v>1643</v>
      </c>
      <c r="BE52">
        <v>1561</v>
      </c>
      <c r="BF52">
        <v>1681</v>
      </c>
      <c r="BG52">
        <v>1652</v>
      </c>
      <c r="BH52">
        <v>1626</v>
      </c>
      <c r="BY52" t="s">
        <v>281</v>
      </c>
      <c r="BZ52" t="s">
        <v>204</v>
      </c>
      <c r="CA52" t="s">
        <v>201</v>
      </c>
      <c r="CB52" t="s">
        <v>201</v>
      </c>
      <c r="CC52" t="s">
        <v>214</v>
      </c>
      <c r="CD52" t="s">
        <v>201</v>
      </c>
      <c r="CE52" t="s">
        <v>281</v>
      </c>
      <c r="CF52" t="s">
        <v>494</v>
      </c>
      <c r="CG52" t="s">
        <v>201</v>
      </c>
      <c r="CH52" t="s">
        <v>207</v>
      </c>
      <c r="CI52" t="s">
        <v>497</v>
      </c>
      <c r="CJ52" t="s">
        <v>730</v>
      </c>
      <c r="CK52" t="s">
        <v>174</v>
      </c>
      <c r="CL52" t="s">
        <v>495</v>
      </c>
      <c r="CM52" t="s">
        <v>1027</v>
      </c>
      <c r="CN52" t="s">
        <v>281</v>
      </c>
      <c r="CO52" t="s">
        <v>213</v>
      </c>
      <c r="CP52" t="s">
        <v>1027</v>
      </c>
      <c r="CQ52" t="s">
        <v>281</v>
      </c>
      <c r="CR52" t="s">
        <v>497</v>
      </c>
      <c r="CS52" t="s">
        <v>727</v>
      </c>
      <c r="CT52" t="s">
        <v>496</v>
      </c>
      <c r="CU52" t="s">
        <v>301</v>
      </c>
      <c r="CV52" t="s">
        <v>727</v>
      </c>
      <c r="CW52" t="s">
        <v>205</v>
      </c>
      <c r="CX52" t="s">
        <v>495</v>
      </c>
      <c r="CY52" t="s">
        <v>727</v>
      </c>
      <c r="CZ52" t="s">
        <v>210</v>
      </c>
      <c r="DA52" t="s">
        <v>494</v>
      </c>
      <c r="DB52" t="s">
        <v>727</v>
      </c>
      <c r="DC52" t="s">
        <v>174</v>
      </c>
      <c r="DD52" t="s">
        <v>495</v>
      </c>
      <c r="DE52" t="s">
        <v>727</v>
      </c>
      <c r="DF52" t="s">
        <v>207</v>
      </c>
      <c r="DG52" t="s">
        <v>213</v>
      </c>
      <c r="DH52" t="s">
        <v>727</v>
      </c>
      <c r="FH52" t="s">
        <v>1099</v>
      </c>
    </row>
    <row r="53" spans="1:164" x14ac:dyDescent="0.25">
      <c r="A53">
        <v>4</v>
      </c>
      <c r="B53" t="s">
        <v>164</v>
      </c>
      <c r="C53">
        <v>46</v>
      </c>
      <c r="D53">
        <v>4601</v>
      </c>
      <c r="E53">
        <v>874738662</v>
      </c>
      <c r="F53" t="s">
        <v>165</v>
      </c>
      <c r="G53" t="s">
        <v>166</v>
      </c>
      <c r="H53" t="s">
        <v>167</v>
      </c>
      <c r="I53" t="s">
        <v>1100</v>
      </c>
      <c r="J53" t="e">
        <f>TRIM(#REF!)</f>
        <v>#REF!</v>
      </c>
      <c r="K53" t="e">
        <f>#REF!&amp;#REF!&amp;#REF!</f>
        <v>#REF!</v>
      </c>
      <c r="L53" t="str">
        <f>IFERROR(VLOOKUP(#REF!,工作表1!E:I,2,FALSE),"")</f>
        <v/>
      </c>
      <c r="M53" t="str">
        <f>IFERROR(VLOOKUP(#REF!,工作表1!E:I,3,FALSE),"")</f>
        <v/>
      </c>
      <c r="N53" t="str">
        <f>IFERROR(VLOOKUP(#REF!,工作表1!E:I,4,FALSE),"")</f>
        <v/>
      </c>
      <c r="O53" t="str">
        <f>IFERROR(VLOOKUP(#REF!,工作表1!E:I,5,FALSE),"")</f>
        <v/>
      </c>
      <c r="P53" t="s">
        <v>1101</v>
      </c>
      <c r="Q53" t="s">
        <v>474</v>
      </c>
      <c r="R53" t="s">
        <v>501</v>
      </c>
      <c r="T53" t="s">
        <v>1102</v>
      </c>
      <c r="U53" t="s">
        <v>533</v>
      </c>
      <c r="V53" t="s">
        <v>476</v>
      </c>
      <c r="X53" t="s">
        <v>981</v>
      </c>
      <c r="Y53" t="s">
        <v>512</v>
      </c>
      <c r="Z53" t="s">
        <v>179</v>
      </c>
      <c r="AB53" t="s">
        <v>1103</v>
      </c>
      <c r="AC53" t="s">
        <v>170</v>
      </c>
      <c r="AD53" t="s">
        <v>176</v>
      </c>
      <c r="AF53" t="s">
        <v>981</v>
      </c>
      <c r="AG53" t="s">
        <v>473</v>
      </c>
      <c r="AH53" t="s">
        <v>473</v>
      </c>
      <c r="AJ53" t="s">
        <v>173</v>
      </c>
      <c r="AK53" t="s">
        <v>902</v>
      </c>
      <c r="AL53" t="s">
        <v>1048</v>
      </c>
      <c r="AM53" t="s">
        <v>206</v>
      </c>
      <c r="AN53" t="s">
        <v>529</v>
      </c>
      <c r="AO53" t="s">
        <v>1104</v>
      </c>
      <c r="AP53" t="s">
        <v>1073</v>
      </c>
      <c r="AQ53" t="s">
        <v>522</v>
      </c>
      <c r="AR53" t="s">
        <v>474</v>
      </c>
      <c r="AS53" t="s">
        <v>699</v>
      </c>
      <c r="AT53" t="s">
        <v>1105</v>
      </c>
      <c r="AU53" t="s">
        <v>214</v>
      </c>
      <c r="AV53" t="s">
        <v>474</v>
      </c>
      <c r="AW53" t="s">
        <v>795</v>
      </c>
      <c r="AX53" t="s">
        <v>673</v>
      </c>
      <c r="AY53" t="s">
        <v>630</v>
      </c>
      <c r="AZ53" t="s">
        <v>529</v>
      </c>
      <c r="BA53" t="s">
        <v>622</v>
      </c>
      <c r="BB53" t="s">
        <v>672</v>
      </c>
      <c r="BC53" t="s">
        <v>211</v>
      </c>
      <c r="BD53">
        <v>1694</v>
      </c>
      <c r="BE53">
        <v>1584</v>
      </c>
      <c r="BF53">
        <v>1632</v>
      </c>
      <c r="BG53">
        <v>1506</v>
      </c>
      <c r="BH53">
        <v>1499</v>
      </c>
      <c r="BY53" t="s">
        <v>281</v>
      </c>
      <c r="BZ53" t="s">
        <v>211</v>
      </c>
      <c r="CA53" t="s">
        <v>593</v>
      </c>
      <c r="CB53" t="s">
        <v>177</v>
      </c>
      <c r="CC53" t="s">
        <v>206</v>
      </c>
      <c r="CD53" t="s">
        <v>593</v>
      </c>
      <c r="CE53" t="s">
        <v>216</v>
      </c>
      <c r="CF53" t="s">
        <v>208</v>
      </c>
      <c r="CG53" t="s">
        <v>593</v>
      </c>
      <c r="CH53" t="s">
        <v>174</v>
      </c>
      <c r="CI53" t="s">
        <v>721</v>
      </c>
      <c r="CJ53" t="s">
        <v>179</v>
      </c>
      <c r="CK53" t="s">
        <v>177</v>
      </c>
      <c r="CL53" t="s">
        <v>204</v>
      </c>
      <c r="CM53" t="s">
        <v>489</v>
      </c>
      <c r="CN53" t="s">
        <v>174</v>
      </c>
      <c r="CO53" t="s">
        <v>495</v>
      </c>
      <c r="CP53" t="s">
        <v>179</v>
      </c>
      <c r="CQ53" t="s">
        <v>201</v>
      </c>
      <c r="CR53" t="s">
        <v>206</v>
      </c>
      <c r="CS53" t="s">
        <v>182</v>
      </c>
      <c r="CT53" t="s">
        <v>217</v>
      </c>
      <c r="CU53" t="s">
        <v>206</v>
      </c>
      <c r="CV53" t="s">
        <v>182</v>
      </c>
      <c r="CW53" t="s">
        <v>215</v>
      </c>
      <c r="CX53" t="s">
        <v>522</v>
      </c>
      <c r="CY53" t="s">
        <v>176</v>
      </c>
      <c r="CZ53" t="s">
        <v>207</v>
      </c>
      <c r="DA53" t="s">
        <v>211</v>
      </c>
      <c r="DB53" t="s">
        <v>212</v>
      </c>
      <c r="DC53" t="s">
        <v>217</v>
      </c>
      <c r="DD53" t="s">
        <v>494</v>
      </c>
      <c r="DE53" t="s">
        <v>212</v>
      </c>
      <c r="DF53" t="s">
        <v>217</v>
      </c>
      <c r="DG53" t="s">
        <v>486</v>
      </c>
      <c r="DH53" t="s">
        <v>212</v>
      </c>
      <c r="FH53" t="s">
        <v>1106</v>
      </c>
    </row>
    <row r="54" spans="1:164" x14ac:dyDescent="0.25">
      <c r="A54">
        <v>4</v>
      </c>
      <c r="B54" t="s">
        <v>164</v>
      </c>
      <c r="C54">
        <v>46</v>
      </c>
      <c r="D54">
        <v>4601</v>
      </c>
      <c r="E54">
        <v>974738279</v>
      </c>
      <c r="F54" t="s">
        <v>165</v>
      </c>
      <c r="G54" t="s">
        <v>166</v>
      </c>
      <c r="H54" t="s">
        <v>167</v>
      </c>
      <c r="I54" t="s">
        <v>1107</v>
      </c>
      <c r="J54" t="e">
        <f>TRIM(#REF!)</f>
        <v>#REF!</v>
      </c>
      <c r="K54" t="e">
        <f>#REF!&amp;#REF!&amp;#REF!</f>
        <v>#REF!</v>
      </c>
      <c r="L54" t="str">
        <f>IFERROR(VLOOKUP(#REF!,工作表1!E:I,2,FALSE),"")</f>
        <v/>
      </c>
      <c r="M54" t="str">
        <f>IFERROR(VLOOKUP(#REF!,工作表1!E:I,3,FALSE),"")</f>
        <v/>
      </c>
      <c r="N54" t="str">
        <f>IFERROR(VLOOKUP(#REF!,工作表1!E:I,4,FALSE),"")</f>
        <v/>
      </c>
      <c r="O54" t="str">
        <f>IFERROR(VLOOKUP(#REF!,工作表1!E:I,5,FALSE),"")</f>
        <v/>
      </c>
      <c r="P54" t="s">
        <v>793</v>
      </c>
      <c r="Q54" t="s">
        <v>480</v>
      </c>
      <c r="R54" t="s">
        <v>529</v>
      </c>
      <c r="T54" t="s">
        <v>1108</v>
      </c>
      <c r="U54" t="s">
        <v>533</v>
      </c>
      <c r="V54" t="s">
        <v>581</v>
      </c>
      <c r="X54" t="s">
        <v>1109</v>
      </c>
      <c r="Y54" t="s">
        <v>489</v>
      </c>
      <c r="Z54" t="s">
        <v>529</v>
      </c>
      <c r="AB54" t="s">
        <v>1110</v>
      </c>
      <c r="AC54" t="s">
        <v>533</v>
      </c>
      <c r="AD54" t="s">
        <v>182</v>
      </c>
      <c r="AF54" t="s">
        <v>1111</v>
      </c>
      <c r="AG54" t="s">
        <v>182</v>
      </c>
      <c r="AH54" t="s">
        <v>480</v>
      </c>
      <c r="AJ54" t="s">
        <v>474</v>
      </c>
      <c r="AK54" t="s">
        <v>511</v>
      </c>
      <c r="AL54" t="s">
        <v>902</v>
      </c>
      <c r="AM54" t="s">
        <v>564</v>
      </c>
      <c r="AN54" t="s">
        <v>533</v>
      </c>
      <c r="AO54" t="s">
        <v>1112</v>
      </c>
      <c r="AP54" t="s">
        <v>660</v>
      </c>
      <c r="AQ54" t="s">
        <v>522</v>
      </c>
      <c r="AR54" t="s">
        <v>512</v>
      </c>
      <c r="AS54" t="s">
        <v>482</v>
      </c>
      <c r="AT54" t="s">
        <v>622</v>
      </c>
      <c r="AU54" t="s">
        <v>623</v>
      </c>
      <c r="AV54" t="s">
        <v>512</v>
      </c>
      <c r="AW54" t="s">
        <v>483</v>
      </c>
      <c r="AX54" t="s">
        <v>521</v>
      </c>
      <c r="AY54" t="s">
        <v>186</v>
      </c>
      <c r="AZ54" t="s">
        <v>182</v>
      </c>
      <c r="BA54" t="s">
        <v>484</v>
      </c>
      <c r="BB54" t="s">
        <v>904</v>
      </c>
      <c r="BC54" t="s">
        <v>306</v>
      </c>
      <c r="BD54">
        <v>1497</v>
      </c>
      <c r="BE54">
        <v>1526</v>
      </c>
      <c r="BF54">
        <v>1566</v>
      </c>
      <c r="BG54">
        <v>1621</v>
      </c>
      <c r="BH54">
        <v>1591</v>
      </c>
      <c r="BY54" t="s">
        <v>174</v>
      </c>
      <c r="BZ54" t="s">
        <v>263</v>
      </c>
      <c r="CA54" t="s">
        <v>179</v>
      </c>
      <c r="CB54" t="s">
        <v>205</v>
      </c>
      <c r="CC54" t="s">
        <v>630</v>
      </c>
      <c r="CD54" t="s">
        <v>179</v>
      </c>
      <c r="CE54" t="s">
        <v>496</v>
      </c>
      <c r="CF54" t="s">
        <v>486</v>
      </c>
      <c r="CG54" t="s">
        <v>179</v>
      </c>
      <c r="CH54" t="s">
        <v>217</v>
      </c>
      <c r="CI54" t="s">
        <v>721</v>
      </c>
      <c r="CJ54" t="s">
        <v>512</v>
      </c>
      <c r="CK54" t="s">
        <v>177</v>
      </c>
      <c r="CL54" t="s">
        <v>497</v>
      </c>
      <c r="CM54" t="s">
        <v>519</v>
      </c>
      <c r="CN54" t="s">
        <v>207</v>
      </c>
      <c r="CO54" t="s">
        <v>204</v>
      </c>
      <c r="CP54" t="s">
        <v>512</v>
      </c>
      <c r="CQ54" t="s">
        <v>207</v>
      </c>
      <c r="CR54" t="s">
        <v>213</v>
      </c>
      <c r="CS54" t="s">
        <v>216</v>
      </c>
      <c r="CT54" t="s">
        <v>216</v>
      </c>
      <c r="CU54" t="s">
        <v>494</v>
      </c>
      <c r="CV54" t="s">
        <v>210</v>
      </c>
      <c r="CW54" t="s">
        <v>177</v>
      </c>
      <c r="CX54" t="s">
        <v>494</v>
      </c>
      <c r="CY54" t="s">
        <v>210</v>
      </c>
      <c r="CZ54" t="s">
        <v>177</v>
      </c>
      <c r="DA54" t="s">
        <v>494</v>
      </c>
      <c r="DB54" t="s">
        <v>210</v>
      </c>
      <c r="DC54" t="s">
        <v>215</v>
      </c>
      <c r="DD54" t="s">
        <v>204</v>
      </c>
      <c r="DE54" t="s">
        <v>210</v>
      </c>
      <c r="DF54" t="s">
        <v>216</v>
      </c>
      <c r="DG54" t="s">
        <v>211</v>
      </c>
      <c r="DH54" t="s">
        <v>210</v>
      </c>
      <c r="FH54" t="s">
        <v>1113</v>
      </c>
    </row>
    <row r="55" spans="1:164" x14ac:dyDescent="0.25">
      <c r="A55">
        <v>4</v>
      </c>
      <c r="B55" t="s">
        <v>164</v>
      </c>
      <c r="C55">
        <v>46</v>
      </c>
      <c r="D55">
        <v>4601</v>
      </c>
      <c r="E55">
        <v>974738589</v>
      </c>
      <c r="F55" t="s">
        <v>165</v>
      </c>
      <c r="G55" t="s">
        <v>166</v>
      </c>
      <c r="H55" t="s">
        <v>167</v>
      </c>
      <c r="I55" t="s">
        <v>1114</v>
      </c>
      <c r="J55" t="e">
        <f>TRIM(#REF!)</f>
        <v>#REF!</v>
      </c>
      <c r="K55" t="e">
        <f>#REF!&amp;#REF!&amp;#REF!</f>
        <v>#REF!</v>
      </c>
      <c r="L55" t="str">
        <f>IFERROR(VLOOKUP(#REF!,工作表1!E:I,2,FALSE),"")</f>
        <v/>
      </c>
      <c r="M55" t="str">
        <f>IFERROR(VLOOKUP(#REF!,工作表1!E:I,3,FALSE),"")</f>
        <v/>
      </c>
      <c r="N55" t="str">
        <f>IFERROR(VLOOKUP(#REF!,工作表1!E:I,4,FALSE),"")</f>
        <v/>
      </c>
      <c r="O55" t="str">
        <f>IFERROR(VLOOKUP(#REF!,工作表1!E:I,5,FALSE),"")</f>
        <v/>
      </c>
      <c r="P55" t="s">
        <v>891</v>
      </c>
      <c r="Q55" t="s">
        <v>281</v>
      </c>
      <c r="R55" t="s">
        <v>207</v>
      </c>
      <c r="T55" t="s">
        <v>1115</v>
      </c>
      <c r="U55" t="s">
        <v>201</v>
      </c>
      <c r="V55" t="s">
        <v>212</v>
      </c>
      <c r="X55" t="s">
        <v>1116</v>
      </c>
      <c r="Y55" t="s">
        <v>281</v>
      </c>
      <c r="Z55" t="s">
        <v>217</v>
      </c>
      <c r="AB55" t="s">
        <v>737</v>
      </c>
      <c r="AC55" t="s">
        <v>216</v>
      </c>
      <c r="AD55" t="s">
        <v>179</v>
      </c>
      <c r="AF55" t="s">
        <v>862</v>
      </c>
      <c r="AG55" t="s">
        <v>215</v>
      </c>
      <c r="AH55" t="s">
        <v>501</v>
      </c>
      <c r="AJ55" t="s">
        <v>612</v>
      </c>
      <c r="AK55" t="s">
        <v>597</v>
      </c>
      <c r="AL55" t="s">
        <v>1117</v>
      </c>
      <c r="AM55" t="s">
        <v>1118</v>
      </c>
      <c r="AN55" t="s">
        <v>176</v>
      </c>
      <c r="AO55" t="s">
        <v>799</v>
      </c>
      <c r="AP55" t="s">
        <v>1119</v>
      </c>
      <c r="AQ55" t="s">
        <v>742</v>
      </c>
      <c r="AR55" t="s">
        <v>512</v>
      </c>
      <c r="AS55" t="s">
        <v>520</v>
      </c>
      <c r="AT55" t="s">
        <v>515</v>
      </c>
      <c r="AU55" t="s">
        <v>1120</v>
      </c>
      <c r="AV55" t="s">
        <v>533</v>
      </c>
      <c r="AW55" t="s">
        <v>1121</v>
      </c>
      <c r="AX55" t="s">
        <v>617</v>
      </c>
      <c r="AY55" t="s">
        <v>1122</v>
      </c>
      <c r="AZ55" t="s">
        <v>474</v>
      </c>
      <c r="BA55" t="s">
        <v>1119</v>
      </c>
      <c r="BB55" t="s">
        <v>657</v>
      </c>
      <c r="BC55" t="s">
        <v>903</v>
      </c>
      <c r="BD55">
        <v>1036</v>
      </c>
      <c r="BE55">
        <v>1451</v>
      </c>
      <c r="BF55">
        <v>1625</v>
      </c>
      <c r="BG55">
        <v>1548</v>
      </c>
      <c r="BH55">
        <v>1571</v>
      </c>
      <c r="BY55" t="s">
        <v>207</v>
      </c>
      <c r="BZ55" t="s">
        <v>351</v>
      </c>
      <c r="CA55" t="s">
        <v>473</v>
      </c>
      <c r="CB55" t="s">
        <v>212</v>
      </c>
      <c r="CC55" t="s">
        <v>198</v>
      </c>
      <c r="CD55" t="s">
        <v>473</v>
      </c>
      <c r="CE55" t="s">
        <v>525</v>
      </c>
      <c r="CF55" t="s">
        <v>186</v>
      </c>
      <c r="CG55" t="s">
        <v>473</v>
      </c>
      <c r="CH55" t="s">
        <v>216</v>
      </c>
      <c r="CI55" t="s">
        <v>208</v>
      </c>
      <c r="CJ55" t="s">
        <v>519</v>
      </c>
      <c r="CK55" t="s">
        <v>217</v>
      </c>
      <c r="CL55" t="s">
        <v>630</v>
      </c>
      <c r="CM55" t="s">
        <v>519</v>
      </c>
      <c r="CN55" t="s">
        <v>217</v>
      </c>
      <c r="CO55" t="s">
        <v>630</v>
      </c>
      <c r="CP55" t="s">
        <v>512</v>
      </c>
      <c r="CQ55" t="s">
        <v>604</v>
      </c>
      <c r="CR55" t="s">
        <v>604</v>
      </c>
      <c r="CS55" t="s">
        <v>604</v>
      </c>
      <c r="CT55" t="s">
        <v>177</v>
      </c>
      <c r="CU55" t="s">
        <v>644</v>
      </c>
      <c r="CV55" t="s">
        <v>580</v>
      </c>
      <c r="CW55" t="s">
        <v>604</v>
      </c>
      <c r="CX55" t="s">
        <v>604</v>
      </c>
      <c r="CY55" t="s">
        <v>604</v>
      </c>
      <c r="CZ55" t="s">
        <v>281</v>
      </c>
      <c r="DA55" t="s">
        <v>190</v>
      </c>
      <c r="DB55" t="s">
        <v>173</v>
      </c>
      <c r="DC55" t="s">
        <v>217</v>
      </c>
      <c r="DD55" t="s">
        <v>522</v>
      </c>
      <c r="DE55" t="s">
        <v>173</v>
      </c>
      <c r="DF55" t="s">
        <v>209</v>
      </c>
      <c r="DG55" t="s">
        <v>522</v>
      </c>
      <c r="DH55" t="s">
        <v>529</v>
      </c>
      <c r="FH55" t="s">
        <v>1123</v>
      </c>
    </row>
    <row r="56" spans="1:164" x14ac:dyDescent="0.25">
      <c r="A56">
        <v>4</v>
      </c>
      <c r="B56" t="s">
        <v>164</v>
      </c>
      <c r="C56">
        <v>46</v>
      </c>
      <c r="D56">
        <v>4601</v>
      </c>
      <c r="E56">
        <v>974738112</v>
      </c>
      <c r="F56" t="s">
        <v>165</v>
      </c>
      <c r="G56" t="s">
        <v>166</v>
      </c>
      <c r="H56" t="s">
        <v>167</v>
      </c>
      <c r="I56" t="s">
        <v>1124</v>
      </c>
      <c r="J56" t="e">
        <f>TRIM(#REF!)</f>
        <v>#REF!</v>
      </c>
      <c r="K56" t="e">
        <f>#REF!&amp;#REF!&amp;#REF!</f>
        <v>#REF!</v>
      </c>
      <c r="L56" t="str">
        <f>IFERROR(VLOOKUP(#REF!,工作表1!E:I,2,FALSE),"")</f>
        <v/>
      </c>
      <c r="M56" t="str">
        <f>IFERROR(VLOOKUP(#REF!,工作表1!E:I,3,FALSE),"")</f>
        <v/>
      </c>
      <c r="N56" t="str">
        <f>IFERROR(VLOOKUP(#REF!,工作表1!E:I,4,FALSE),"")</f>
        <v/>
      </c>
      <c r="O56" t="str">
        <f>IFERROR(VLOOKUP(#REF!,工作表1!E:I,5,FALSE),"")</f>
        <v/>
      </c>
      <c r="P56" t="s">
        <v>804</v>
      </c>
      <c r="Q56" t="s">
        <v>473</v>
      </c>
      <c r="R56" t="s">
        <v>473</v>
      </c>
      <c r="T56" t="s">
        <v>804</v>
      </c>
      <c r="U56" t="s">
        <v>580</v>
      </c>
      <c r="V56" t="s">
        <v>182</v>
      </c>
      <c r="X56" t="s">
        <v>804</v>
      </c>
      <c r="Y56" t="s">
        <v>473</v>
      </c>
      <c r="Z56" t="s">
        <v>170</v>
      </c>
      <c r="AB56" t="s">
        <v>981</v>
      </c>
      <c r="AC56" t="s">
        <v>529</v>
      </c>
      <c r="AD56" t="s">
        <v>533</v>
      </c>
      <c r="AF56" t="s">
        <v>979</v>
      </c>
      <c r="AG56" t="s">
        <v>533</v>
      </c>
      <c r="AH56" t="s">
        <v>173</v>
      </c>
      <c r="AJ56" t="s">
        <v>182</v>
      </c>
      <c r="AK56" t="s">
        <v>801</v>
      </c>
      <c r="AL56" t="s">
        <v>699</v>
      </c>
      <c r="AM56" t="s">
        <v>263</v>
      </c>
      <c r="AN56" t="s">
        <v>182</v>
      </c>
      <c r="AO56" t="s">
        <v>483</v>
      </c>
      <c r="AP56" t="s">
        <v>622</v>
      </c>
      <c r="AQ56" t="s">
        <v>629</v>
      </c>
      <c r="AR56" t="s">
        <v>612</v>
      </c>
      <c r="AS56" t="s">
        <v>801</v>
      </c>
      <c r="AT56" t="s">
        <v>982</v>
      </c>
      <c r="AU56" t="s">
        <v>633</v>
      </c>
      <c r="AV56" t="s">
        <v>182</v>
      </c>
      <c r="AW56" t="s">
        <v>1121</v>
      </c>
      <c r="AX56" t="s">
        <v>673</v>
      </c>
      <c r="AY56" t="s">
        <v>631</v>
      </c>
      <c r="AZ56" t="s">
        <v>182</v>
      </c>
      <c r="BA56" t="s">
        <v>491</v>
      </c>
      <c r="BB56" t="s">
        <v>667</v>
      </c>
      <c r="BC56" t="s">
        <v>190</v>
      </c>
      <c r="BD56">
        <v>1455</v>
      </c>
      <c r="BE56">
        <v>1322</v>
      </c>
      <c r="BF56">
        <v>1435</v>
      </c>
      <c r="BG56">
        <v>1409</v>
      </c>
      <c r="BH56">
        <v>1410</v>
      </c>
      <c r="BY56" t="s">
        <v>201</v>
      </c>
      <c r="BZ56" t="s">
        <v>495</v>
      </c>
      <c r="CA56" t="s">
        <v>524</v>
      </c>
      <c r="CB56" t="s">
        <v>183</v>
      </c>
      <c r="CC56" t="s">
        <v>204</v>
      </c>
      <c r="CD56" t="s">
        <v>203</v>
      </c>
      <c r="CE56" t="s">
        <v>205</v>
      </c>
      <c r="CF56" t="s">
        <v>486</v>
      </c>
      <c r="CG56" t="s">
        <v>524</v>
      </c>
      <c r="CH56" t="s">
        <v>210</v>
      </c>
      <c r="CI56" t="s">
        <v>208</v>
      </c>
      <c r="CJ56" t="s">
        <v>593</v>
      </c>
      <c r="CK56" t="s">
        <v>216</v>
      </c>
      <c r="CL56" t="s">
        <v>494</v>
      </c>
      <c r="CM56" t="s">
        <v>195</v>
      </c>
      <c r="CN56" t="s">
        <v>177</v>
      </c>
      <c r="CO56" t="s">
        <v>206</v>
      </c>
      <c r="CP56" t="s">
        <v>195</v>
      </c>
      <c r="CQ56" t="s">
        <v>177</v>
      </c>
      <c r="CR56" t="s">
        <v>202</v>
      </c>
      <c r="CS56" t="s">
        <v>187</v>
      </c>
      <c r="CT56" t="s">
        <v>210</v>
      </c>
      <c r="CU56" t="s">
        <v>630</v>
      </c>
      <c r="CV56" t="s">
        <v>195</v>
      </c>
      <c r="CW56" t="s">
        <v>177</v>
      </c>
      <c r="CX56" t="s">
        <v>522</v>
      </c>
      <c r="CY56" t="s">
        <v>195</v>
      </c>
      <c r="CZ56" t="s">
        <v>177</v>
      </c>
      <c r="DA56" t="s">
        <v>522</v>
      </c>
      <c r="DB56" t="s">
        <v>191</v>
      </c>
      <c r="DC56" t="s">
        <v>217</v>
      </c>
      <c r="DD56" t="s">
        <v>202</v>
      </c>
      <c r="DE56" t="s">
        <v>191</v>
      </c>
      <c r="DF56" t="s">
        <v>210</v>
      </c>
      <c r="DG56" t="s">
        <v>721</v>
      </c>
      <c r="DH56" t="s">
        <v>191</v>
      </c>
      <c r="FH56" t="s">
        <v>1125</v>
      </c>
    </row>
    <row r="57" spans="1:164" x14ac:dyDescent="0.25">
      <c r="A57">
        <v>4</v>
      </c>
      <c r="B57" t="s">
        <v>164</v>
      </c>
      <c r="C57">
        <v>46</v>
      </c>
      <c r="D57">
        <v>4601</v>
      </c>
      <c r="E57">
        <v>974738538</v>
      </c>
      <c r="F57" t="s">
        <v>165</v>
      </c>
      <c r="G57" t="s">
        <v>166</v>
      </c>
      <c r="H57" t="s">
        <v>167</v>
      </c>
      <c r="I57" t="s">
        <v>1126</v>
      </c>
      <c r="J57" t="e">
        <f>TRIM(#REF!)</f>
        <v>#REF!</v>
      </c>
      <c r="K57" t="e">
        <f>#REF!&amp;#REF!&amp;#REF!</f>
        <v>#REF!</v>
      </c>
      <c r="L57" t="str">
        <f>IFERROR(VLOOKUP(#REF!,工作表1!E:I,2,FALSE),"")</f>
        <v/>
      </c>
      <c r="M57" t="str">
        <f>IFERROR(VLOOKUP(#REF!,工作表1!E:I,3,FALSE),"")</f>
        <v/>
      </c>
      <c r="N57" t="str">
        <f>IFERROR(VLOOKUP(#REF!,工作表1!E:I,4,FALSE),"")</f>
        <v/>
      </c>
      <c r="O57" t="str">
        <f>IFERROR(VLOOKUP(#REF!,工作表1!E:I,5,FALSE),"")</f>
        <v/>
      </c>
      <c r="P57" t="s">
        <v>1047</v>
      </c>
      <c r="Q57" t="s">
        <v>481</v>
      </c>
      <c r="R57" t="s">
        <v>174</v>
      </c>
      <c r="T57" t="s">
        <v>615</v>
      </c>
      <c r="U57" t="s">
        <v>508</v>
      </c>
      <c r="V57" t="s">
        <v>281</v>
      </c>
      <c r="X57" t="s">
        <v>1127</v>
      </c>
      <c r="Y57" t="s">
        <v>604</v>
      </c>
      <c r="Z57" t="s">
        <v>177</v>
      </c>
      <c r="AB57" t="s">
        <v>766</v>
      </c>
      <c r="AC57" t="s">
        <v>481</v>
      </c>
      <c r="AD57" t="s">
        <v>177</v>
      </c>
      <c r="AF57" t="s">
        <v>614</v>
      </c>
      <c r="AG57" t="s">
        <v>508</v>
      </c>
      <c r="AH57" t="s">
        <v>179</v>
      </c>
      <c r="AJ57" t="s">
        <v>173</v>
      </c>
      <c r="AK57" t="s">
        <v>982</v>
      </c>
      <c r="AL57" t="s">
        <v>617</v>
      </c>
      <c r="AM57" t="s">
        <v>669</v>
      </c>
      <c r="AN57" t="s">
        <v>473</v>
      </c>
      <c r="AO57" t="s">
        <v>516</v>
      </c>
      <c r="AP57" t="s">
        <v>1072</v>
      </c>
      <c r="AQ57" t="s">
        <v>214</v>
      </c>
      <c r="AR57" t="s">
        <v>474</v>
      </c>
      <c r="AS57" t="s">
        <v>985</v>
      </c>
      <c r="AT57" t="s">
        <v>719</v>
      </c>
      <c r="AU57" t="s">
        <v>564</v>
      </c>
      <c r="AV57" t="s">
        <v>474</v>
      </c>
      <c r="AW57" t="s">
        <v>699</v>
      </c>
      <c r="AX57" t="s">
        <v>617</v>
      </c>
      <c r="AY57" t="s">
        <v>557</v>
      </c>
      <c r="AZ57" t="s">
        <v>173</v>
      </c>
      <c r="BA57" t="s">
        <v>1105</v>
      </c>
      <c r="BB57" t="s">
        <v>805</v>
      </c>
      <c r="BC57" t="s">
        <v>644</v>
      </c>
      <c r="BD57">
        <v>1407</v>
      </c>
      <c r="BE57">
        <v>1413</v>
      </c>
      <c r="BF57">
        <v>1483</v>
      </c>
      <c r="BG57">
        <v>1334</v>
      </c>
      <c r="BH57">
        <v>1432</v>
      </c>
      <c r="BY57" t="s">
        <v>281</v>
      </c>
      <c r="BZ57" t="s">
        <v>202</v>
      </c>
      <c r="CA57" t="s">
        <v>203</v>
      </c>
      <c r="CB57" t="s">
        <v>177</v>
      </c>
      <c r="CC57" t="s">
        <v>211</v>
      </c>
      <c r="CD57" t="s">
        <v>203</v>
      </c>
      <c r="CE57" t="s">
        <v>210</v>
      </c>
      <c r="CF57" t="s">
        <v>202</v>
      </c>
      <c r="CG57" t="s">
        <v>588</v>
      </c>
      <c r="CH57" t="s">
        <v>281</v>
      </c>
      <c r="CI57" t="s">
        <v>630</v>
      </c>
      <c r="CJ57" t="s">
        <v>195</v>
      </c>
      <c r="CK57" t="s">
        <v>215</v>
      </c>
      <c r="CL57" t="s">
        <v>211</v>
      </c>
      <c r="CM57" t="s">
        <v>195</v>
      </c>
      <c r="CN57" t="s">
        <v>216</v>
      </c>
      <c r="CO57" t="s">
        <v>208</v>
      </c>
      <c r="CP57" t="s">
        <v>195</v>
      </c>
      <c r="CQ57" t="s">
        <v>201</v>
      </c>
      <c r="CR57" t="s">
        <v>557</v>
      </c>
      <c r="CS57" t="s">
        <v>595</v>
      </c>
      <c r="CT57" t="s">
        <v>281</v>
      </c>
      <c r="CU57" t="s">
        <v>202</v>
      </c>
      <c r="CV57" t="s">
        <v>171</v>
      </c>
      <c r="CW57" t="s">
        <v>216</v>
      </c>
      <c r="CX57" t="s">
        <v>213</v>
      </c>
      <c r="CY57" t="s">
        <v>171</v>
      </c>
      <c r="CZ57" t="s">
        <v>174</v>
      </c>
      <c r="DA57" t="s">
        <v>497</v>
      </c>
      <c r="DB57" t="s">
        <v>195</v>
      </c>
      <c r="DC57" t="s">
        <v>210</v>
      </c>
      <c r="DD57" t="s">
        <v>214</v>
      </c>
      <c r="DE57" t="s">
        <v>195</v>
      </c>
      <c r="DF57" t="s">
        <v>210</v>
      </c>
      <c r="DG57" t="s">
        <v>557</v>
      </c>
      <c r="DH57" t="s">
        <v>195</v>
      </c>
      <c r="FH57" t="s">
        <v>1128</v>
      </c>
    </row>
    <row r="58" spans="1:164" x14ac:dyDescent="0.25">
      <c r="A58">
        <v>4</v>
      </c>
      <c r="B58" t="s">
        <v>164</v>
      </c>
      <c r="C58">
        <v>46</v>
      </c>
      <c r="D58">
        <v>4601</v>
      </c>
      <c r="E58">
        <v>974738481</v>
      </c>
      <c r="F58" t="s">
        <v>165</v>
      </c>
      <c r="G58" t="s">
        <v>166</v>
      </c>
      <c r="H58" t="s">
        <v>167</v>
      </c>
      <c r="I58" t="s">
        <v>1129</v>
      </c>
      <c r="J58" t="e">
        <f>TRIM(#REF!)</f>
        <v>#REF!</v>
      </c>
      <c r="K58" t="e">
        <f>#REF!&amp;#REF!&amp;#REF!</f>
        <v>#REF!</v>
      </c>
      <c r="L58" t="str">
        <f>IFERROR(VLOOKUP(#REF!,工作表1!E:I,2,FALSE),"")</f>
        <v/>
      </c>
      <c r="M58" t="str">
        <f>IFERROR(VLOOKUP(#REF!,工作表1!E:I,3,FALSE),"")</f>
        <v/>
      </c>
      <c r="N58" t="str">
        <f>IFERROR(VLOOKUP(#REF!,工作表1!E:I,4,FALSE),"")</f>
        <v/>
      </c>
      <c r="O58" t="str">
        <f>IFERROR(VLOOKUP(#REF!,工作表1!E:I,5,FALSE),"")</f>
        <v/>
      </c>
      <c r="P58" t="s">
        <v>1130</v>
      </c>
      <c r="Q58" t="s">
        <v>504</v>
      </c>
      <c r="R58" t="s">
        <v>505</v>
      </c>
      <c r="T58" t="s">
        <v>924</v>
      </c>
      <c r="U58" t="s">
        <v>480</v>
      </c>
      <c r="V58" t="s">
        <v>512</v>
      </c>
      <c r="X58" t="s">
        <v>750</v>
      </c>
      <c r="Y58" t="s">
        <v>480</v>
      </c>
      <c r="Z58" t="s">
        <v>593</v>
      </c>
      <c r="AB58" t="s">
        <v>1053</v>
      </c>
      <c r="AC58" t="s">
        <v>608</v>
      </c>
      <c r="AD58" t="s">
        <v>524</v>
      </c>
      <c r="AF58" t="s">
        <v>779</v>
      </c>
      <c r="AG58" t="s">
        <v>604</v>
      </c>
      <c r="AH58" t="s">
        <v>612</v>
      </c>
      <c r="AJ58" t="s">
        <v>595</v>
      </c>
      <c r="AK58" t="s">
        <v>1131</v>
      </c>
      <c r="AL58" t="s">
        <v>758</v>
      </c>
      <c r="AM58" t="s">
        <v>214</v>
      </c>
      <c r="AN58" t="s">
        <v>588</v>
      </c>
      <c r="AO58" t="s">
        <v>1132</v>
      </c>
      <c r="AP58" t="s">
        <v>1133</v>
      </c>
      <c r="AQ58" t="s">
        <v>214</v>
      </c>
      <c r="AR58" t="s">
        <v>212</v>
      </c>
      <c r="AS58" t="s">
        <v>847</v>
      </c>
      <c r="AT58" t="s">
        <v>1134</v>
      </c>
      <c r="AU58" t="s">
        <v>214</v>
      </c>
      <c r="AV58" t="s">
        <v>217</v>
      </c>
      <c r="AW58" t="s">
        <v>1135</v>
      </c>
      <c r="AX58" t="s">
        <v>1136</v>
      </c>
      <c r="AY58" t="s">
        <v>301</v>
      </c>
      <c r="AZ58" t="s">
        <v>217</v>
      </c>
      <c r="BA58" t="s">
        <v>964</v>
      </c>
      <c r="BB58" t="s">
        <v>1061</v>
      </c>
      <c r="BC58" t="s">
        <v>301</v>
      </c>
      <c r="BD58">
        <v>1773</v>
      </c>
      <c r="BE58">
        <v>1881</v>
      </c>
      <c r="BF58">
        <v>1741</v>
      </c>
      <c r="BG58">
        <v>1794</v>
      </c>
      <c r="BH58">
        <v>1566</v>
      </c>
      <c r="BI58" t="s">
        <v>349</v>
      </c>
      <c r="BJ58" t="s">
        <v>350</v>
      </c>
      <c r="BK58" t="s">
        <v>206</v>
      </c>
      <c r="BL58" t="s">
        <v>504</v>
      </c>
      <c r="BM58" t="s">
        <v>198</v>
      </c>
      <c r="BN58" t="s">
        <v>480</v>
      </c>
      <c r="BO58" t="s">
        <v>186</v>
      </c>
      <c r="BP58" t="s">
        <v>529</v>
      </c>
      <c r="BQ58" t="s">
        <v>198</v>
      </c>
      <c r="BR58" t="s">
        <v>512</v>
      </c>
      <c r="BS58" t="s">
        <v>1137</v>
      </c>
      <c r="BT58" t="s">
        <v>971</v>
      </c>
      <c r="BU58" t="s">
        <v>856</v>
      </c>
      <c r="BV58" t="s">
        <v>674</v>
      </c>
      <c r="BW58" t="s">
        <v>852</v>
      </c>
      <c r="BX58" t="s">
        <v>554</v>
      </c>
      <c r="DI58" t="s">
        <v>174</v>
      </c>
      <c r="DJ58" t="s">
        <v>560</v>
      </c>
      <c r="DK58" t="s">
        <v>681</v>
      </c>
      <c r="DL58" t="s">
        <v>207</v>
      </c>
      <c r="DM58" t="s">
        <v>562</v>
      </c>
      <c r="DN58" t="s">
        <v>861</v>
      </c>
      <c r="DO58" t="s">
        <v>174</v>
      </c>
      <c r="DP58" t="s">
        <v>558</v>
      </c>
      <c r="DQ58" t="s">
        <v>859</v>
      </c>
      <c r="DR58" t="s">
        <v>174</v>
      </c>
      <c r="DS58" t="s">
        <v>564</v>
      </c>
      <c r="DT58" t="s">
        <v>549</v>
      </c>
      <c r="DU58" t="s">
        <v>207</v>
      </c>
      <c r="DV58" t="s">
        <v>558</v>
      </c>
      <c r="DW58" t="s">
        <v>559</v>
      </c>
      <c r="DX58" t="s">
        <v>177</v>
      </c>
      <c r="DY58" t="s">
        <v>560</v>
      </c>
      <c r="DZ58" t="s">
        <v>563</v>
      </c>
      <c r="EA58" t="s">
        <v>174</v>
      </c>
      <c r="EB58" t="s">
        <v>560</v>
      </c>
      <c r="EC58" t="s">
        <v>855</v>
      </c>
      <c r="ED58" t="s">
        <v>207</v>
      </c>
      <c r="EE58" t="s">
        <v>558</v>
      </c>
      <c r="EF58" t="s">
        <v>565</v>
      </c>
      <c r="EG58" t="s">
        <v>216</v>
      </c>
      <c r="EH58" t="s">
        <v>560</v>
      </c>
      <c r="EI58" t="s">
        <v>559</v>
      </c>
      <c r="EJ58" t="s">
        <v>281</v>
      </c>
      <c r="EK58" t="s">
        <v>558</v>
      </c>
      <c r="EL58" t="s">
        <v>751</v>
      </c>
      <c r="EM58" t="s">
        <v>177</v>
      </c>
      <c r="EN58" t="s">
        <v>560</v>
      </c>
      <c r="EO58" t="s">
        <v>1138</v>
      </c>
      <c r="EP58" t="s">
        <v>177</v>
      </c>
      <c r="EQ58" t="s">
        <v>566</v>
      </c>
      <c r="ER58" t="s">
        <v>754</v>
      </c>
      <c r="ES58" t="s">
        <v>731</v>
      </c>
      <c r="ET58" t="s">
        <v>731</v>
      </c>
      <c r="EU58" t="s">
        <v>573</v>
      </c>
      <c r="EV58" t="s">
        <v>731</v>
      </c>
      <c r="EW58" t="s">
        <v>300</v>
      </c>
      <c r="EX58" t="s">
        <v>1139</v>
      </c>
      <c r="EY58">
        <v>100</v>
      </c>
      <c r="EZ58">
        <v>50</v>
      </c>
      <c r="FA58" t="s">
        <v>1003</v>
      </c>
      <c r="FB58" t="s">
        <v>388</v>
      </c>
      <c r="FC58" t="s">
        <v>623</v>
      </c>
      <c r="FD58" t="s">
        <v>975</v>
      </c>
      <c r="FE58">
        <v>110</v>
      </c>
      <c r="FF58">
        <v>95</v>
      </c>
      <c r="FG58" t="s">
        <v>570</v>
      </c>
      <c r="FH58" t="s">
        <v>1140</v>
      </c>
    </row>
    <row r="59" spans="1:164" x14ac:dyDescent="0.25">
      <c r="A59">
        <v>4</v>
      </c>
      <c r="B59" t="s">
        <v>164</v>
      </c>
      <c r="C59">
        <v>46</v>
      </c>
      <c r="D59">
        <v>4601</v>
      </c>
      <c r="E59">
        <v>974738481</v>
      </c>
      <c r="F59" t="s">
        <v>165</v>
      </c>
      <c r="G59" t="s">
        <v>166</v>
      </c>
      <c r="H59" t="s">
        <v>167</v>
      </c>
      <c r="I59" t="s">
        <v>1129</v>
      </c>
      <c r="J59" t="e">
        <f>TRIM(#REF!)</f>
        <v>#REF!</v>
      </c>
      <c r="K59" t="e">
        <f>#REF!&amp;#REF!&amp;#REF!</f>
        <v>#REF!</v>
      </c>
      <c r="L59" t="str">
        <f>IFERROR(VLOOKUP(#REF!,工作表1!E:I,2,FALSE),"")</f>
        <v/>
      </c>
      <c r="M59" t="str">
        <f>IFERROR(VLOOKUP(#REF!,工作表1!E:I,3,FALSE),"")</f>
        <v/>
      </c>
      <c r="N59" t="str">
        <f>IFERROR(VLOOKUP(#REF!,工作表1!E:I,4,FALSE),"")</f>
        <v/>
      </c>
      <c r="O59" t="str">
        <f>IFERROR(VLOOKUP(#REF!,工作表1!E:I,5,FALSE),"")</f>
        <v/>
      </c>
      <c r="P59" t="s">
        <v>1130</v>
      </c>
      <c r="Q59" t="s">
        <v>504</v>
      </c>
      <c r="R59" t="s">
        <v>505</v>
      </c>
      <c r="T59" t="s">
        <v>924</v>
      </c>
      <c r="U59" t="s">
        <v>480</v>
      </c>
      <c r="V59" t="s">
        <v>512</v>
      </c>
      <c r="X59" t="s">
        <v>750</v>
      </c>
      <c r="Y59" t="s">
        <v>480</v>
      </c>
      <c r="Z59" t="s">
        <v>593</v>
      </c>
      <c r="AB59" t="s">
        <v>1053</v>
      </c>
      <c r="AC59" t="s">
        <v>608</v>
      </c>
      <c r="AD59" t="s">
        <v>524</v>
      </c>
      <c r="AF59" t="s">
        <v>779</v>
      </c>
      <c r="AG59" t="s">
        <v>604</v>
      </c>
      <c r="AH59" t="s">
        <v>612</v>
      </c>
      <c r="AJ59" t="s">
        <v>595</v>
      </c>
      <c r="AK59" t="s">
        <v>1131</v>
      </c>
      <c r="AL59" t="s">
        <v>758</v>
      </c>
      <c r="AM59" t="s">
        <v>214</v>
      </c>
      <c r="AN59" t="s">
        <v>588</v>
      </c>
      <c r="AO59" t="s">
        <v>1132</v>
      </c>
      <c r="AP59" t="s">
        <v>1133</v>
      </c>
      <c r="AQ59" t="s">
        <v>214</v>
      </c>
      <c r="AR59" t="s">
        <v>212</v>
      </c>
      <c r="AS59" t="s">
        <v>847</v>
      </c>
      <c r="AT59" t="s">
        <v>1134</v>
      </c>
      <c r="AU59" t="s">
        <v>214</v>
      </c>
      <c r="AV59" t="s">
        <v>217</v>
      </c>
      <c r="AW59" t="s">
        <v>1135</v>
      </c>
      <c r="AX59" t="s">
        <v>1136</v>
      </c>
      <c r="AY59" t="s">
        <v>301</v>
      </c>
      <c r="AZ59" t="s">
        <v>217</v>
      </c>
      <c r="BA59" t="s">
        <v>964</v>
      </c>
      <c r="BB59" t="s">
        <v>1061</v>
      </c>
      <c r="BC59" t="s">
        <v>301</v>
      </c>
      <c r="BD59">
        <v>1773</v>
      </c>
      <c r="BE59">
        <v>1881</v>
      </c>
      <c r="BF59">
        <v>1741</v>
      </c>
      <c r="BG59">
        <v>1794</v>
      </c>
      <c r="BH59">
        <v>1566</v>
      </c>
      <c r="BI59" t="s">
        <v>261</v>
      </c>
      <c r="BJ59" t="s">
        <v>262</v>
      </c>
      <c r="BK59" t="s">
        <v>186</v>
      </c>
      <c r="BL59" t="s">
        <v>1141</v>
      </c>
      <c r="BM59" t="s">
        <v>266</v>
      </c>
      <c r="BN59" t="s">
        <v>969</v>
      </c>
      <c r="BO59" t="s">
        <v>263</v>
      </c>
      <c r="BP59" t="s">
        <v>1139</v>
      </c>
      <c r="BQ59" t="s">
        <v>198</v>
      </c>
      <c r="BR59" t="s">
        <v>554</v>
      </c>
      <c r="BS59" t="s">
        <v>1137</v>
      </c>
      <c r="BT59" t="s">
        <v>971</v>
      </c>
      <c r="BU59" t="s">
        <v>856</v>
      </c>
      <c r="BV59" t="s">
        <v>674</v>
      </c>
      <c r="BW59" t="s">
        <v>852</v>
      </c>
      <c r="BX59" t="s">
        <v>554</v>
      </c>
      <c r="DI59" t="s">
        <v>174</v>
      </c>
      <c r="DJ59" t="s">
        <v>560</v>
      </c>
      <c r="DK59" t="s">
        <v>681</v>
      </c>
      <c r="DL59" t="s">
        <v>207</v>
      </c>
      <c r="DM59" t="s">
        <v>562</v>
      </c>
      <c r="DN59" t="s">
        <v>861</v>
      </c>
      <c r="DO59" t="s">
        <v>174</v>
      </c>
      <c r="DP59" t="s">
        <v>558</v>
      </c>
      <c r="DQ59" t="s">
        <v>859</v>
      </c>
      <c r="DR59" t="s">
        <v>174</v>
      </c>
      <c r="DS59" t="s">
        <v>564</v>
      </c>
      <c r="DT59" t="s">
        <v>549</v>
      </c>
      <c r="DU59" t="s">
        <v>207</v>
      </c>
      <c r="DV59" t="s">
        <v>558</v>
      </c>
      <c r="DW59" t="s">
        <v>559</v>
      </c>
      <c r="DX59" t="s">
        <v>177</v>
      </c>
      <c r="DY59" t="s">
        <v>560</v>
      </c>
      <c r="DZ59" t="s">
        <v>563</v>
      </c>
      <c r="EA59" t="s">
        <v>174</v>
      </c>
      <c r="EB59" t="s">
        <v>560</v>
      </c>
      <c r="EC59" t="s">
        <v>855</v>
      </c>
      <c r="ED59" t="s">
        <v>207</v>
      </c>
      <c r="EE59" t="s">
        <v>558</v>
      </c>
      <c r="EF59" t="s">
        <v>565</v>
      </c>
      <c r="EG59" t="s">
        <v>216</v>
      </c>
      <c r="EH59" t="s">
        <v>560</v>
      </c>
      <c r="EI59" t="s">
        <v>559</v>
      </c>
      <c r="EJ59" t="s">
        <v>281</v>
      </c>
      <c r="EK59" t="s">
        <v>558</v>
      </c>
      <c r="EL59" t="s">
        <v>751</v>
      </c>
      <c r="EM59" t="s">
        <v>177</v>
      </c>
      <c r="EN59" t="s">
        <v>560</v>
      </c>
      <c r="EO59" t="s">
        <v>1138</v>
      </c>
      <c r="EP59" t="s">
        <v>177</v>
      </c>
      <c r="EQ59" t="s">
        <v>566</v>
      </c>
      <c r="ER59" t="s">
        <v>754</v>
      </c>
      <c r="ES59" t="s">
        <v>731</v>
      </c>
      <c r="ET59" t="s">
        <v>731</v>
      </c>
      <c r="EU59" t="s">
        <v>573</v>
      </c>
      <c r="EV59" t="s">
        <v>731</v>
      </c>
      <c r="EW59" t="s">
        <v>300</v>
      </c>
      <c r="EX59" t="s">
        <v>1139</v>
      </c>
      <c r="EY59">
        <v>100</v>
      </c>
      <c r="EZ59">
        <v>50</v>
      </c>
      <c r="FA59" t="s">
        <v>1003</v>
      </c>
      <c r="FB59" t="s">
        <v>388</v>
      </c>
      <c r="FC59" t="s">
        <v>623</v>
      </c>
      <c r="FD59" t="s">
        <v>975</v>
      </c>
      <c r="FE59">
        <v>110</v>
      </c>
      <c r="FF59">
        <v>95</v>
      </c>
      <c r="FG59" t="s">
        <v>570</v>
      </c>
      <c r="FH59" t="s">
        <v>1140</v>
      </c>
    </row>
    <row r="60" spans="1:164" x14ac:dyDescent="0.25">
      <c r="A60">
        <v>4</v>
      </c>
      <c r="B60" t="s">
        <v>164</v>
      </c>
      <c r="C60">
        <v>46</v>
      </c>
      <c r="D60">
        <v>4601</v>
      </c>
      <c r="E60">
        <v>974738406</v>
      </c>
      <c r="F60" t="s">
        <v>165</v>
      </c>
      <c r="G60" t="s">
        <v>166</v>
      </c>
      <c r="H60" t="s">
        <v>167</v>
      </c>
      <c r="I60" t="s">
        <v>1142</v>
      </c>
      <c r="J60" t="e">
        <f>TRIM(#REF!)</f>
        <v>#REF!</v>
      </c>
      <c r="K60" t="e">
        <f>#REF!&amp;#REF!&amp;#REF!</f>
        <v>#REF!</v>
      </c>
      <c r="L60" t="str">
        <f>IFERROR(VLOOKUP(#REF!,工作表1!E:I,2,FALSE),"")</f>
        <v/>
      </c>
      <c r="M60" t="str">
        <f>IFERROR(VLOOKUP(#REF!,工作表1!E:I,3,FALSE),"")</f>
        <v/>
      </c>
      <c r="N60" t="str">
        <f>IFERROR(VLOOKUP(#REF!,工作表1!E:I,4,FALSE),"")</f>
        <v/>
      </c>
      <c r="O60" t="str">
        <f>IFERROR(VLOOKUP(#REF!,工作表1!E:I,5,FALSE),"")</f>
        <v/>
      </c>
      <c r="P60" t="s">
        <v>885</v>
      </c>
      <c r="Q60" t="s">
        <v>502</v>
      </c>
      <c r="R60" t="s">
        <v>501</v>
      </c>
      <c r="T60" t="s">
        <v>1143</v>
      </c>
      <c r="U60" t="s">
        <v>530</v>
      </c>
      <c r="V60" t="s">
        <v>473</v>
      </c>
      <c r="X60" t="s">
        <v>897</v>
      </c>
      <c r="Y60" t="s">
        <v>530</v>
      </c>
      <c r="Z60" t="s">
        <v>170</v>
      </c>
      <c r="AB60" t="s">
        <v>769</v>
      </c>
      <c r="AC60" t="s">
        <v>608</v>
      </c>
      <c r="AD60" t="s">
        <v>505</v>
      </c>
      <c r="AF60" t="s">
        <v>896</v>
      </c>
      <c r="AG60" t="s">
        <v>530</v>
      </c>
      <c r="AH60" t="s">
        <v>580</v>
      </c>
      <c r="AJ60" t="s">
        <v>529</v>
      </c>
      <c r="AK60" t="s">
        <v>936</v>
      </c>
      <c r="AL60" t="s">
        <v>1014</v>
      </c>
      <c r="AM60" t="s">
        <v>206</v>
      </c>
      <c r="AN60" t="s">
        <v>529</v>
      </c>
      <c r="AO60" t="s">
        <v>773</v>
      </c>
      <c r="AP60" t="s">
        <v>742</v>
      </c>
      <c r="AQ60" t="s">
        <v>606</v>
      </c>
      <c r="AR60" t="s">
        <v>173</v>
      </c>
      <c r="AS60" t="s">
        <v>900</v>
      </c>
      <c r="AT60" t="s">
        <v>720</v>
      </c>
      <c r="AU60" t="s">
        <v>300</v>
      </c>
      <c r="AV60" t="s">
        <v>173</v>
      </c>
      <c r="AW60" t="s">
        <v>634</v>
      </c>
      <c r="AX60" t="s">
        <v>744</v>
      </c>
      <c r="AY60" t="s">
        <v>494</v>
      </c>
      <c r="AZ60" t="s">
        <v>473</v>
      </c>
      <c r="BA60" t="s">
        <v>770</v>
      </c>
      <c r="BB60" t="s">
        <v>900</v>
      </c>
      <c r="BC60" t="s">
        <v>560</v>
      </c>
      <c r="BD60">
        <v>1595</v>
      </c>
      <c r="BE60">
        <v>1522</v>
      </c>
      <c r="BF60">
        <v>1404</v>
      </c>
      <c r="BG60">
        <v>1518</v>
      </c>
      <c r="BH60">
        <v>1435</v>
      </c>
      <c r="BY60" t="s">
        <v>281</v>
      </c>
      <c r="BZ60" t="s">
        <v>522</v>
      </c>
      <c r="CA60" t="s">
        <v>182</v>
      </c>
      <c r="CB60" t="s">
        <v>207</v>
      </c>
      <c r="CC60" t="s">
        <v>198</v>
      </c>
      <c r="CD60" t="s">
        <v>182</v>
      </c>
      <c r="CE60" t="s">
        <v>207</v>
      </c>
      <c r="CF60" t="s">
        <v>721</v>
      </c>
      <c r="CG60" t="s">
        <v>182</v>
      </c>
      <c r="CH60" t="s">
        <v>281</v>
      </c>
      <c r="CI60" t="s">
        <v>629</v>
      </c>
      <c r="CJ60" t="s">
        <v>519</v>
      </c>
      <c r="CK60" t="s">
        <v>215</v>
      </c>
      <c r="CL60" t="s">
        <v>522</v>
      </c>
      <c r="CM60" t="s">
        <v>512</v>
      </c>
      <c r="CN60" t="s">
        <v>207</v>
      </c>
      <c r="CO60" t="s">
        <v>497</v>
      </c>
      <c r="CP60" t="s">
        <v>519</v>
      </c>
      <c r="CQ60" t="s">
        <v>216</v>
      </c>
      <c r="CR60" t="s">
        <v>208</v>
      </c>
      <c r="CS60" t="s">
        <v>533</v>
      </c>
      <c r="CT60" t="s">
        <v>215</v>
      </c>
      <c r="CU60" t="s">
        <v>486</v>
      </c>
      <c r="CV60" t="s">
        <v>533</v>
      </c>
      <c r="CW60" t="s">
        <v>216</v>
      </c>
      <c r="CX60" t="s">
        <v>557</v>
      </c>
      <c r="CY60" t="s">
        <v>533</v>
      </c>
      <c r="CZ60" t="s">
        <v>177</v>
      </c>
      <c r="DA60" t="s">
        <v>598</v>
      </c>
      <c r="DB60" t="s">
        <v>489</v>
      </c>
      <c r="DC60" t="s">
        <v>177</v>
      </c>
      <c r="DD60" t="s">
        <v>202</v>
      </c>
      <c r="DE60" t="s">
        <v>489</v>
      </c>
      <c r="DF60" t="s">
        <v>174</v>
      </c>
      <c r="DG60" t="s">
        <v>202</v>
      </c>
      <c r="DH60" t="s">
        <v>489</v>
      </c>
      <c r="FH60" t="s">
        <v>1144</v>
      </c>
    </row>
    <row r="61" spans="1:164" x14ac:dyDescent="0.25">
      <c r="A61">
        <v>4</v>
      </c>
      <c r="B61" t="s">
        <v>164</v>
      </c>
      <c r="C61">
        <v>46</v>
      </c>
      <c r="D61">
        <v>4601</v>
      </c>
      <c r="E61">
        <v>974738376</v>
      </c>
      <c r="F61" t="s">
        <v>165</v>
      </c>
      <c r="G61" t="s">
        <v>166</v>
      </c>
      <c r="H61" t="s">
        <v>167</v>
      </c>
      <c r="I61" t="s">
        <v>1145</v>
      </c>
      <c r="J61" t="e">
        <f>TRIM(#REF!)</f>
        <v>#REF!</v>
      </c>
      <c r="K61" t="e">
        <f>#REF!&amp;#REF!&amp;#REF!</f>
        <v>#REF!</v>
      </c>
      <c r="L61" t="str">
        <f>IFERROR(VLOOKUP(#REF!,工作表1!E:I,2,FALSE),"")</f>
        <v/>
      </c>
      <c r="M61" t="str">
        <f>IFERROR(VLOOKUP(#REF!,工作表1!E:I,3,FALSE),"")</f>
        <v/>
      </c>
      <c r="N61" t="str">
        <f>IFERROR(VLOOKUP(#REF!,工作表1!E:I,4,FALSE),"")</f>
        <v/>
      </c>
      <c r="O61" t="str">
        <f>IFERROR(VLOOKUP(#REF!,工作表1!E:I,5,FALSE),"")</f>
        <v/>
      </c>
      <c r="P61" t="s">
        <v>1146</v>
      </c>
      <c r="Q61" t="s">
        <v>481</v>
      </c>
      <c r="R61" t="s">
        <v>505</v>
      </c>
      <c r="T61" t="s">
        <v>1147</v>
      </c>
      <c r="U61" t="s">
        <v>604</v>
      </c>
      <c r="V61" t="s">
        <v>505</v>
      </c>
      <c r="X61" t="s">
        <v>1148</v>
      </c>
      <c r="Y61" t="s">
        <v>508</v>
      </c>
      <c r="Z61" t="s">
        <v>608</v>
      </c>
      <c r="AB61" t="s">
        <v>1149</v>
      </c>
      <c r="AC61" t="s">
        <v>481</v>
      </c>
      <c r="AD61" t="s">
        <v>608</v>
      </c>
      <c r="AF61" t="s">
        <v>507</v>
      </c>
      <c r="AG61" t="s">
        <v>655</v>
      </c>
      <c r="AH61" t="s">
        <v>604</v>
      </c>
      <c r="AJ61" t="s">
        <v>533</v>
      </c>
      <c r="AK61" t="s">
        <v>713</v>
      </c>
      <c r="AL61" t="s">
        <v>714</v>
      </c>
      <c r="AM61" t="s">
        <v>522</v>
      </c>
      <c r="AN61" t="s">
        <v>529</v>
      </c>
      <c r="AO61" t="s">
        <v>1150</v>
      </c>
      <c r="AP61" t="s">
        <v>619</v>
      </c>
      <c r="AQ61" t="s">
        <v>495</v>
      </c>
      <c r="AR61" t="s">
        <v>474</v>
      </c>
      <c r="AS61" t="s">
        <v>622</v>
      </c>
      <c r="AT61" t="s">
        <v>668</v>
      </c>
      <c r="AU61" t="s">
        <v>494</v>
      </c>
      <c r="AV61" t="s">
        <v>519</v>
      </c>
      <c r="AW61" t="s">
        <v>622</v>
      </c>
      <c r="AX61" t="s">
        <v>617</v>
      </c>
      <c r="AY61" t="s">
        <v>494</v>
      </c>
      <c r="AZ61" t="s">
        <v>519</v>
      </c>
      <c r="BA61" t="s">
        <v>667</v>
      </c>
      <c r="BB61" t="s">
        <v>1150</v>
      </c>
      <c r="BC61" t="s">
        <v>213</v>
      </c>
      <c r="BD61">
        <v>1682</v>
      </c>
      <c r="BE61">
        <v>1641</v>
      </c>
      <c r="BF61">
        <v>1649</v>
      </c>
      <c r="BG61">
        <v>1631</v>
      </c>
      <c r="BH61">
        <v>1606</v>
      </c>
      <c r="BY61" t="s">
        <v>201</v>
      </c>
      <c r="BZ61" t="s">
        <v>213</v>
      </c>
      <c r="CA61" t="s">
        <v>207</v>
      </c>
      <c r="CB61" t="s">
        <v>174</v>
      </c>
      <c r="CC61" t="s">
        <v>213</v>
      </c>
      <c r="CD61" t="s">
        <v>207</v>
      </c>
      <c r="CE61" t="s">
        <v>201</v>
      </c>
      <c r="CF61" t="s">
        <v>644</v>
      </c>
      <c r="CG61" t="s">
        <v>207</v>
      </c>
      <c r="CH61" t="s">
        <v>207</v>
      </c>
      <c r="CI61" t="s">
        <v>202</v>
      </c>
      <c r="CJ61" t="s">
        <v>595</v>
      </c>
      <c r="CK61" t="s">
        <v>281</v>
      </c>
      <c r="CL61" t="s">
        <v>630</v>
      </c>
      <c r="CM61" t="s">
        <v>191</v>
      </c>
      <c r="CN61" t="s">
        <v>177</v>
      </c>
      <c r="CO61" t="s">
        <v>211</v>
      </c>
      <c r="CP61" t="s">
        <v>595</v>
      </c>
      <c r="CQ61" t="s">
        <v>496</v>
      </c>
      <c r="CR61" t="s">
        <v>204</v>
      </c>
      <c r="CS61" t="s">
        <v>593</v>
      </c>
      <c r="CT61" t="s">
        <v>177</v>
      </c>
      <c r="CU61" t="s">
        <v>204</v>
      </c>
      <c r="CV61" t="s">
        <v>593</v>
      </c>
      <c r="CW61" t="s">
        <v>207</v>
      </c>
      <c r="CX61" t="s">
        <v>557</v>
      </c>
      <c r="CY61" t="s">
        <v>191</v>
      </c>
      <c r="CZ61" t="s">
        <v>177</v>
      </c>
      <c r="DA61" t="s">
        <v>214</v>
      </c>
      <c r="DB61" t="s">
        <v>205</v>
      </c>
      <c r="DC61" t="s">
        <v>210</v>
      </c>
      <c r="DD61" t="s">
        <v>494</v>
      </c>
      <c r="DE61" t="s">
        <v>201</v>
      </c>
      <c r="DF61" t="s">
        <v>210</v>
      </c>
      <c r="DG61" t="s">
        <v>644</v>
      </c>
      <c r="DH61" t="s">
        <v>201</v>
      </c>
      <c r="FH61" t="s">
        <v>1151</v>
      </c>
    </row>
    <row r="62" spans="1:164" x14ac:dyDescent="0.25">
      <c r="A62">
        <v>4</v>
      </c>
      <c r="B62" t="s">
        <v>164</v>
      </c>
      <c r="C62">
        <v>46</v>
      </c>
      <c r="D62">
        <v>4601</v>
      </c>
      <c r="E62">
        <v>974738341</v>
      </c>
      <c r="F62" t="s">
        <v>165</v>
      </c>
      <c r="G62" t="s">
        <v>166</v>
      </c>
      <c r="H62" t="s">
        <v>167</v>
      </c>
      <c r="I62" t="s">
        <v>1152</v>
      </c>
      <c r="J62" t="e">
        <f>TRIM(#REF!)</f>
        <v>#REF!</v>
      </c>
      <c r="K62" t="e">
        <f>#REF!&amp;#REF!&amp;#REF!</f>
        <v>#REF!</v>
      </c>
      <c r="L62" t="str">
        <f>IFERROR(VLOOKUP(#REF!,工作表1!E:I,2,FALSE),"")</f>
        <v/>
      </c>
      <c r="M62" t="str">
        <f>IFERROR(VLOOKUP(#REF!,工作表1!E:I,3,FALSE),"")</f>
        <v/>
      </c>
      <c r="N62" t="str">
        <f>IFERROR(VLOOKUP(#REF!,工作表1!E:I,4,FALSE),"")</f>
        <v/>
      </c>
      <c r="O62" t="str">
        <f>IFERROR(VLOOKUP(#REF!,工作表1!E:I,5,FALSE),"")</f>
        <v/>
      </c>
      <c r="P62" t="s">
        <v>1153</v>
      </c>
      <c r="Q62" t="s">
        <v>655</v>
      </c>
      <c r="R62" t="s">
        <v>217</v>
      </c>
      <c r="T62" t="s">
        <v>1056</v>
      </c>
      <c r="U62" t="s">
        <v>502</v>
      </c>
      <c r="V62" t="s">
        <v>209</v>
      </c>
      <c r="X62" t="s">
        <v>312</v>
      </c>
      <c r="Y62" t="s">
        <v>505</v>
      </c>
      <c r="Z62" t="s">
        <v>209</v>
      </c>
      <c r="AB62" t="s">
        <v>1154</v>
      </c>
      <c r="AC62" t="s">
        <v>505</v>
      </c>
      <c r="AD62" t="s">
        <v>207</v>
      </c>
      <c r="AF62" t="s">
        <v>1155</v>
      </c>
      <c r="AG62" t="s">
        <v>505</v>
      </c>
      <c r="AH62" t="s">
        <v>489</v>
      </c>
      <c r="AJ62" t="s">
        <v>195</v>
      </c>
      <c r="AK62" t="s">
        <v>492</v>
      </c>
      <c r="AL62" t="s">
        <v>913</v>
      </c>
      <c r="AM62" t="s">
        <v>301</v>
      </c>
      <c r="AN62" t="s">
        <v>595</v>
      </c>
      <c r="AO62" t="s">
        <v>1156</v>
      </c>
      <c r="AP62" t="s">
        <v>991</v>
      </c>
      <c r="AQ62" t="s">
        <v>557</v>
      </c>
      <c r="AR62" t="s">
        <v>171</v>
      </c>
      <c r="AS62" t="s">
        <v>1157</v>
      </c>
      <c r="AT62" t="s">
        <v>1158</v>
      </c>
      <c r="AU62" t="s">
        <v>557</v>
      </c>
      <c r="AV62" t="s">
        <v>171</v>
      </c>
      <c r="AW62" t="s">
        <v>853</v>
      </c>
      <c r="AX62" t="s">
        <v>487</v>
      </c>
      <c r="AY62" t="s">
        <v>632</v>
      </c>
      <c r="AZ62" t="s">
        <v>593</v>
      </c>
      <c r="BA62" t="s">
        <v>1058</v>
      </c>
      <c r="BB62" t="s">
        <v>1159</v>
      </c>
      <c r="BC62" t="s">
        <v>829</v>
      </c>
      <c r="BD62">
        <v>1594</v>
      </c>
      <c r="BE62">
        <v>1586</v>
      </c>
      <c r="BF62">
        <v>1530</v>
      </c>
      <c r="BG62">
        <v>1654</v>
      </c>
      <c r="BH62">
        <v>1598</v>
      </c>
      <c r="BY62" t="s">
        <v>174</v>
      </c>
      <c r="BZ62" t="s">
        <v>204</v>
      </c>
      <c r="CA62" t="s">
        <v>180</v>
      </c>
      <c r="CB62" t="s">
        <v>201</v>
      </c>
      <c r="CC62" t="s">
        <v>557</v>
      </c>
      <c r="CD62" t="s">
        <v>180</v>
      </c>
      <c r="CE62" t="s">
        <v>281</v>
      </c>
      <c r="CF62" t="s">
        <v>497</v>
      </c>
      <c r="CG62" t="s">
        <v>180</v>
      </c>
      <c r="CH62" t="s">
        <v>207</v>
      </c>
      <c r="CI62" t="s">
        <v>486</v>
      </c>
      <c r="CJ62" t="s">
        <v>177</v>
      </c>
      <c r="CK62" t="s">
        <v>201</v>
      </c>
      <c r="CL62" t="s">
        <v>211</v>
      </c>
      <c r="CM62" t="s">
        <v>177</v>
      </c>
      <c r="CN62" t="s">
        <v>496</v>
      </c>
      <c r="CO62" t="s">
        <v>202</v>
      </c>
      <c r="CP62" t="s">
        <v>177</v>
      </c>
      <c r="CQ62" t="s">
        <v>174</v>
      </c>
      <c r="CR62" t="s">
        <v>494</v>
      </c>
      <c r="CS62" t="s">
        <v>523</v>
      </c>
      <c r="CT62" t="s">
        <v>177</v>
      </c>
      <c r="CU62" t="s">
        <v>214</v>
      </c>
      <c r="CV62" t="s">
        <v>523</v>
      </c>
      <c r="CW62" t="s">
        <v>281</v>
      </c>
      <c r="CX62" t="s">
        <v>214</v>
      </c>
      <c r="CY62" t="s">
        <v>523</v>
      </c>
      <c r="CZ62" t="s">
        <v>496</v>
      </c>
      <c r="DA62" t="s">
        <v>204</v>
      </c>
      <c r="DB62" t="s">
        <v>183</v>
      </c>
      <c r="DC62" t="s">
        <v>205</v>
      </c>
      <c r="DD62" t="s">
        <v>495</v>
      </c>
      <c r="DE62" t="s">
        <v>183</v>
      </c>
      <c r="DF62" t="s">
        <v>496</v>
      </c>
      <c r="DG62" t="s">
        <v>213</v>
      </c>
      <c r="DH62" t="s">
        <v>582</v>
      </c>
      <c r="FH62" t="s">
        <v>1160</v>
      </c>
    </row>
    <row r="63" spans="1:164" x14ac:dyDescent="0.25">
      <c r="A63">
        <v>4</v>
      </c>
      <c r="B63" t="s">
        <v>164</v>
      </c>
      <c r="C63">
        <v>46</v>
      </c>
      <c r="D63">
        <v>4601</v>
      </c>
      <c r="E63">
        <v>974738295</v>
      </c>
      <c r="F63" t="s">
        <v>165</v>
      </c>
      <c r="G63" t="s">
        <v>166</v>
      </c>
      <c r="H63" t="s">
        <v>167</v>
      </c>
      <c r="I63" t="s">
        <v>1161</v>
      </c>
      <c r="J63" t="e">
        <f>TRIM(#REF!)</f>
        <v>#REF!</v>
      </c>
      <c r="K63" t="e">
        <f>#REF!&amp;#REF!&amp;#REF!</f>
        <v>#REF!</v>
      </c>
      <c r="L63" t="str">
        <f>IFERROR(VLOOKUP(#REF!,工作表1!E:I,2,FALSE),"")</f>
        <v/>
      </c>
      <c r="M63" t="str">
        <f>IFERROR(VLOOKUP(#REF!,工作表1!E:I,3,FALSE),"")</f>
        <v/>
      </c>
      <c r="N63" t="str">
        <f>IFERROR(VLOOKUP(#REF!,工作表1!E:I,4,FALSE),"")</f>
        <v/>
      </c>
      <c r="O63" t="str">
        <f>IFERROR(VLOOKUP(#REF!,工作表1!E:I,5,FALSE),"")</f>
        <v/>
      </c>
      <c r="P63" t="s">
        <v>1162</v>
      </c>
      <c r="Q63" t="s">
        <v>473</v>
      </c>
      <c r="R63" t="s">
        <v>524</v>
      </c>
      <c r="T63" t="s">
        <v>1163</v>
      </c>
      <c r="U63" t="s">
        <v>473</v>
      </c>
      <c r="V63" t="s">
        <v>210</v>
      </c>
      <c r="X63" t="s">
        <v>1164</v>
      </c>
      <c r="Y63" t="s">
        <v>173</v>
      </c>
      <c r="Z63" t="s">
        <v>586</v>
      </c>
      <c r="AB63" t="s">
        <v>1165</v>
      </c>
      <c r="AC63" t="s">
        <v>173</v>
      </c>
      <c r="AD63" t="s">
        <v>586</v>
      </c>
      <c r="AF63" t="s">
        <v>1164</v>
      </c>
      <c r="AG63" t="s">
        <v>473</v>
      </c>
      <c r="AH63" t="s">
        <v>593</v>
      </c>
      <c r="AJ63" t="s">
        <v>533</v>
      </c>
      <c r="AK63" t="s">
        <v>808</v>
      </c>
      <c r="AL63" t="s">
        <v>672</v>
      </c>
      <c r="AM63" t="s">
        <v>547</v>
      </c>
      <c r="AN63" t="s">
        <v>512</v>
      </c>
      <c r="AO63" t="s">
        <v>1166</v>
      </c>
      <c r="AP63" t="s">
        <v>1167</v>
      </c>
      <c r="AQ63" t="s">
        <v>1168</v>
      </c>
      <c r="AR63" t="s">
        <v>474</v>
      </c>
      <c r="AS63" t="s">
        <v>1169</v>
      </c>
      <c r="AT63" t="s">
        <v>986</v>
      </c>
      <c r="AU63" t="s">
        <v>306</v>
      </c>
      <c r="AV63" t="s">
        <v>474</v>
      </c>
      <c r="AW63" t="s">
        <v>518</v>
      </c>
      <c r="AX63" t="s">
        <v>1105</v>
      </c>
      <c r="AY63" t="s">
        <v>1170</v>
      </c>
      <c r="AZ63" t="s">
        <v>474</v>
      </c>
      <c r="BA63" t="s">
        <v>982</v>
      </c>
      <c r="BB63" t="s">
        <v>516</v>
      </c>
      <c r="BC63" t="s">
        <v>306</v>
      </c>
      <c r="BD63">
        <v>1591</v>
      </c>
      <c r="BE63">
        <v>1552</v>
      </c>
      <c r="BF63">
        <v>1657</v>
      </c>
      <c r="BG63">
        <v>1362</v>
      </c>
      <c r="BH63">
        <v>1603</v>
      </c>
      <c r="BY63" t="s">
        <v>205</v>
      </c>
      <c r="BZ63" t="s">
        <v>486</v>
      </c>
      <c r="CA63" t="s">
        <v>593</v>
      </c>
      <c r="CB63" t="s">
        <v>201</v>
      </c>
      <c r="CC63" t="s">
        <v>208</v>
      </c>
      <c r="CD63" t="s">
        <v>195</v>
      </c>
      <c r="CE63" t="s">
        <v>281</v>
      </c>
      <c r="CF63" t="s">
        <v>486</v>
      </c>
      <c r="CG63" t="s">
        <v>593</v>
      </c>
      <c r="CH63" t="s">
        <v>281</v>
      </c>
      <c r="CI63" t="s">
        <v>486</v>
      </c>
      <c r="CJ63" t="s">
        <v>593</v>
      </c>
      <c r="CK63" t="s">
        <v>281</v>
      </c>
      <c r="CL63" t="s">
        <v>721</v>
      </c>
      <c r="CM63" t="s">
        <v>593</v>
      </c>
      <c r="CN63" t="s">
        <v>207</v>
      </c>
      <c r="CO63" t="s">
        <v>486</v>
      </c>
      <c r="CP63" t="s">
        <v>191</v>
      </c>
      <c r="CQ63" t="s">
        <v>207</v>
      </c>
      <c r="CR63" t="s">
        <v>629</v>
      </c>
      <c r="CS63" t="s">
        <v>519</v>
      </c>
      <c r="CT63" t="s">
        <v>210</v>
      </c>
      <c r="CU63" t="s">
        <v>186</v>
      </c>
      <c r="CV63" t="s">
        <v>512</v>
      </c>
      <c r="CW63" t="s">
        <v>210</v>
      </c>
      <c r="CX63" t="s">
        <v>630</v>
      </c>
      <c r="CY63" t="s">
        <v>612</v>
      </c>
      <c r="CZ63" t="s">
        <v>174</v>
      </c>
      <c r="DA63" t="s">
        <v>211</v>
      </c>
      <c r="DB63" t="s">
        <v>195</v>
      </c>
      <c r="DC63" t="s">
        <v>216</v>
      </c>
      <c r="DD63" t="s">
        <v>204</v>
      </c>
      <c r="DE63" t="s">
        <v>593</v>
      </c>
      <c r="DF63" t="s">
        <v>177</v>
      </c>
      <c r="DG63" t="s">
        <v>630</v>
      </c>
      <c r="DH63" t="s">
        <v>187</v>
      </c>
      <c r="FH63" t="s">
        <v>1171</v>
      </c>
    </row>
    <row r="64" spans="1:164" x14ac:dyDescent="0.25">
      <c r="A64">
        <v>4</v>
      </c>
      <c r="B64" t="s">
        <v>164</v>
      </c>
      <c r="C64">
        <v>46</v>
      </c>
      <c r="D64">
        <v>4601</v>
      </c>
      <c r="E64">
        <v>974738031</v>
      </c>
      <c r="F64" t="s">
        <v>165</v>
      </c>
      <c r="G64" t="s">
        <v>166</v>
      </c>
      <c r="H64" t="s">
        <v>167</v>
      </c>
      <c r="I64" t="s">
        <v>1172</v>
      </c>
      <c r="J64" t="e">
        <f>TRIM(#REF!)</f>
        <v>#REF!</v>
      </c>
      <c r="K64" t="e">
        <f>#REF!&amp;#REF!&amp;#REF!</f>
        <v>#REF!</v>
      </c>
      <c r="L64" t="str">
        <f>IFERROR(VLOOKUP(#REF!,工作表1!E:I,2,FALSE),"")</f>
        <v/>
      </c>
      <c r="M64" t="str">
        <f>IFERROR(VLOOKUP(#REF!,工作表1!E:I,3,FALSE),"")</f>
        <v/>
      </c>
      <c r="N64" t="str">
        <f>IFERROR(VLOOKUP(#REF!,工作表1!E:I,4,FALSE),"")</f>
        <v/>
      </c>
      <c r="O64" t="str">
        <f>IFERROR(VLOOKUP(#REF!,工作表1!E:I,5,FALSE),"")</f>
        <v/>
      </c>
      <c r="P64" t="s">
        <v>1173</v>
      </c>
      <c r="Q64" t="s">
        <v>201</v>
      </c>
      <c r="R64" t="s">
        <v>212</v>
      </c>
      <c r="T64" t="s">
        <v>1174</v>
      </c>
      <c r="U64" t="s">
        <v>215</v>
      </c>
      <c r="V64" t="s">
        <v>187</v>
      </c>
      <c r="X64" t="s">
        <v>1175</v>
      </c>
      <c r="Y64" t="s">
        <v>201</v>
      </c>
      <c r="Z64" t="s">
        <v>182</v>
      </c>
      <c r="AB64" t="s">
        <v>1176</v>
      </c>
      <c r="AC64" t="s">
        <v>726</v>
      </c>
      <c r="AD64" t="s">
        <v>191</v>
      </c>
      <c r="AF64" t="s">
        <v>1177</v>
      </c>
      <c r="AG64" t="s">
        <v>600</v>
      </c>
      <c r="AH64" t="s">
        <v>182</v>
      </c>
      <c r="AJ64" t="s">
        <v>496</v>
      </c>
      <c r="AK64" t="s">
        <v>1178</v>
      </c>
      <c r="AL64" t="s">
        <v>1179</v>
      </c>
      <c r="AM64" t="s">
        <v>721</v>
      </c>
      <c r="AN64" t="s">
        <v>601</v>
      </c>
      <c r="AO64" t="s">
        <v>876</v>
      </c>
      <c r="AP64" t="s">
        <v>1180</v>
      </c>
      <c r="AQ64" t="s">
        <v>626</v>
      </c>
      <c r="AR64" t="s">
        <v>582</v>
      </c>
      <c r="AS64" t="s">
        <v>1181</v>
      </c>
      <c r="AT64" t="s">
        <v>1182</v>
      </c>
      <c r="AU64" t="s">
        <v>266</v>
      </c>
      <c r="AV64" t="s">
        <v>180</v>
      </c>
      <c r="AW64" t="s">
        <v>1181</v>
      </c>
      <c r="AX64" t="s">
        <v>1183</v>
      </c>
      <c r="AY64" t="s">
        <v>263</v>
      </c>
      <c r="AZ64" t="s">
        <v>584</v>
      </c>
      <c r="BA64" t="s">
        <v>1181</v>
      </c>
      <c r="BB64" t="s">
        <v>1184</v>
      </c>
      <c r="BC64" t="s">
        <v>631</v>
      </c>
      <c r="BD64">
        <v>1748</v>
      </c>
      <c r="BE64">
        <v>1748</v>
      </c>
      <c r="BF64">
        <v>1646</v>
      </c>
      <c r="BG64">
        <v>1624</v>
      </c>
      <c r="BH64">
        <v>1689</v>
      </c>
      <c r="BI64" t="s">
        <v>349</v>
      </c>
      <c r="BJ64" t="s">
        <v>350</v>
      </c>
      <c r="BM64" t="s">
        <v>351</v>
      </c>
      <c r="BN64" t="s">
        <v>182</v>
      </c>
      <c r="BO64" t="s">
        <v>630</v>
      </c>
      <c r="BP64" t="s">
        <v>480</v>
      </c>
      <c r="BQ64" t="s">
        <v>550</v>
      </c>
      <c r="BR64" t="s">
        <v>505</v>
      </c>
      <c r="BS64" t="s">
        <v>553</v>
      </c>
      <c r="BT64" t="s">
        <v>1185</v>
      </c>
      <c r="BU64" t="s">
        <v>966</v>
      </c>
      <c r="BV64" t="s">
        <v>967</v>
      </c>
      <c r="BW64" t="s">
        <v>884</v>
      </c>
      <c r="BX64" t="s">
        <v>751</v>
      </c>
      <c r="CA64" t="s">
        <v>556</v>
      </c>
      <c r="CB64" t="s">
        <v>207</v>
      </c>
      <c r="CC64" t="s">
        <v>644</v>
      </c>
      <c r="CD64" t="s">
        <v>726</v>
      </c>
      <c r="CG64" t="s">
        <v>556</v>
      </c>
      <c r="CH64" t="s">
        <v>177</v>
      </c>
      <c r="CI64" t="s">
        <v>494</v>
      </c>
      <c r="CJ64" t="s">
        <v>177</v>
      </c>
      <c r="CK64" t="s">
        <v>177</v>
      </c>
      <c r="CL64" t="s">
        <v>497</v>
      </c>
      <c r="CM64" t="s">
        <v>177</v>
      </c>
      <c r="CN64" t="s">
        <v>216</v>
      </c>
      <c r="CO64" t="s">
        <v>497</v>
      </c>
      <c r="CP64" t="s">
        <v>216</v>
      </c>
      <c r="CQ64" t="s">
        <v>281</v>
      </c>
      <c r="CR64" t="s">
        <v>644</v>
      </c>
      <c r="CS64" t="s">
        <v>728</v>
      </c>
      <c r="CT64" t="s">
        <v>210</v>
      </c>
      <c r="CU64" t="s">
        <v>644</v>
      </c>
      <c r="CV64" t="s">
        <v>728</v>
      </c>
      <c r="CW64" t="s">
        <v>215</v>
      </c>
      <c r="CX64" t="s">
        <v>214</v>
      </c>
      <c r="CY64" t="s">
        <v>727</v>
      </c>
      <c r="CZ64" t="s">
        <v>210</v>
      </c>
      <c r="DA64" t="s">
        <v>557</v>
      </c>
      <c r="DB64" t="s">
        <v>525</v>
      </c>
      <c r="DC64" t="s">
        <v>210</v>
      </c>
      <c r="DD64" t="s">
        <v>211</v>
      </c>
      <c r="DE64" t="s">
        <v>217</v>
      </c>
      <c r="DF64" t="s">
        <v>177</v>
      </c>
      <c r="DG64" t="s">
        <v>522</v>
      </c>
      <c r="DH64" t="s">
        <v>212</v>
      </c>
      <c r="DK64" t="s">
        <v>556</v>
      </c>
      <c r="DN64" t="s">
        <v>556</v>
      </c>
      <c r="DQ64" t="s">
        <v>556</v>
      </c>
      <c r="DR64" t="s">
        <v>201</v>
      </c>
      <c r="DS64" t="s">
        <v>644</v>
      </c>
      <c r="DT64" t="s">
        <v>683</v>
      </c>
      <c r="DU64" t="s">
        <v>281</v>
      </c>
      <c r="DV64" t="s">
        <v>301</v>
      </c>
      <c r="DW64" t="s">
        <v>683</v>
      </c>
      <c r="DX64" t="s">
        <v>207</v>
      </c>
      <c r="DY64" t="s">
        <v>644</v>
      </c>
      <c r="DZ64" t="s">
        <v>682</v>
      </c>
      <c r="EA64" t="s">
        <v>281</v>
      </c>
      <c r="EB64" t="s">
        <v>560</v>
      </c>
      <c r="EC64" t="s">
        <v>821</v>
      </c>
      <c r="ED64" t="s">
        <v>207</v>
      </c>
      <c r="EE64" t="s">
        <v>301</v>
      </c>
      <c r="EF64" t="s">
        <v>834</v>
      </c>
      <c r="EG64" t="s">
        <v>216</v>
      </c>
      <c r="EH64" t="s">
        <v>301</v>
      </c>
      <c r="EI64" t="s">
        <v>821</v>
      </c>
      <c r="EJ64" t="s">
        <v>177</v>
      </c>
      <c r="EK64" t="s">
        <v>560</v>
      </c>
      <c r="EL64" t="s">
        <v>859</v>
      </c>
      <c r="EM64" t="s">
        <v>216</v>
      </c>
      <c r="EN64" t="s">
        <v>562</v>
      </c>
      <c r="EO64" t="s">
        <v>954</v>
      </c>
      <c r="EP64" t="s">
        <v>216</v>
      </c>
      <c r="EQ64" t="s">
        <v>669</v>
      </c>
      <c r="ER64" t="s">
        <v>1186</v>
      </c>
      <c r="ES64" t="s">
        <v>300</v>
      </c>
      <c r="ET64" t="s">
        <v>211</v>
      </c>
      <c r="EU64" t="s">
        <v>1185</v>
      </c>
      <c r="EV64" t="s">
        <v>301</v>
      </c>
      <c r="EW64" t="s">
        <v>190</v>
      </c>
      <c r="EX64" t="s">
        <v>691</v>
      </c>
      <c r="EY64">
        <v>120</v>
      </c>
      <c r="EZ64">
        <v>100</v>
      </c>
      <c r="FA64" t="s">
        <v>688</v>
      </c>
      <c r="FB64" t="s">
        <v>605</v>
      </c>
      <c r="FC64" t="s">
        <v>1187</v>
      </c>
      <c r="FD64" t="s">
        <v>956</v>
      </c>
      <c r="FE64">
        <v>100</v>
      </c>
      <c r="FF64">
        <v>100</v>
      </c>
      <c r="FG64" t="s">
        <v>1139</v>
      </c>
      <c r="FH64" t="s">
        <v>1188</v>
      </c>
    </row>
    <row r="65" spans="1:164" x14ac:dyDescent="0.25">
      <c r="A65">
        <v>4</v>
      </c>
      <c r="B65" t="s">
        <v>164</v>
      </c>
      <c r="C65">
        <v>46</v>
      </c>
      <c r="D65">
        <v>4601</v>
      </c>
      <c r="E65">
        <v>974737965</v>
      </c>
      <c r="F65" t="s">
        <v>165</v>
      </c>
      <c r="G65" t="s">
        <v>166</v>
      </c>
      <c r="H65" t="s">
        <v>167</v>
      </c>
      <c r="I65" t="s">
        <v>1189</v>
      </c>
      <c r="J65" t="e">
        <f>TRIM(#REF!)</f>
        <v>#REF!</v>
      </c>
      <c r="K65" t="e">
        <f>#REF!&amp;#REF!&amp;#REF!</f>
        <v>#REF!</v>
      </c>
      <c r="L65" t="str">
        <f>IFERROR(VLOOKUP(#REF!,工作表1!E:I,2,FALSE),"")</f>
        <v/>
      </c>
      <c r="M65" t="str">
        <f>IFERROR(VLOOKUP(#REF!,工作表1!E:I,3,FALSE),"")</f>
        <v/>
      </c>
      <c r="N65" t="str">
        <f>IFERROR(VLOOKUP(#REF!,工作表1!E:I,4,FALSE),"")</f>
        <v/>
      </c>
      <c r="O65" t="str">
        <f>IFERROR(VLOOKUP(#REF!,工作表1!E:I,5,FALSE),"")</f>
        <v/>
      </c>
      <c r="P65" t="s">
        <v>1190</v>
      </c>
      <c r="Q65" t="s">
        <v>655</v>
      </c>
      <c r="R65" t="s">
        <v>217</v>
      </c>
      <c r="T65" t="s">
        <v>1191</v>
      </c>
      <c r="U65" t="s">
        <v>530</v>
      </c>
      <c r="V65" t="s">
        <v>174</v>
      </c>
      <c r="X65" t="s">
        <v>665</v>
      </c>
      <c r="Y65" t="s">
        <v>505</v>
      </c>
      <c r="Z65" t="s">
        <v>177</v>
      </c>
      <c r="AB65" t="s">
        <v>432</v>
      </c>
      <c r="AC65" t="s">
        <v>580</v>
      </c>
      <c r="AD65" t="s">
        <v>180</v>
      </c>
      <c r="AF65" t="s">
        <v>1192</v>
      </c>
      <c r="AG65" t="s">
        <v>608</v>
      </c>
      <c r="AH65" t="s">
        <v>177</v>
      </c>
      <c r="AJ65" t="s">
        <v>533</v>
      </c>
      <c r="AK65" t="s">
        <v>1169</v>
      </c>
      <c r="AL65" t="s">
        <v>806</v>
      </c>
      <c r="AM65" t="s">
        <v>389</v>
      </c>
      <c r="AN65" t="s">
        <v>512</v>
      </c>
      <c r="AO65" t="s">
        <v>622</v>
      </c>
      <c r="AP65" t="s">
        <v>516</v>
      </c>
      <c r="AQ65" t="s">
        <v>800</v>
      </c>
      <c r="AR65" t="s">
        <v>519</v>
      </c>
      <c r="AS65" t="s">
        <v>799</v>
      </c>
      <c r="AT65" t="s">
        <v>808</v>
      </c>
      <c r="AU65" t="s">
        <v>198</v>
      </c>
      <c r="AV65" t="s">
        <v>519</v>
      </c>
      <c r="AW65" t="s">
        <v>794</v>
      </c>
      <c r="AX65" t="s">
        <v>513</v>
      </c>
      <c r="AY65" t="s">
        <v>637</v>
      </c>
      <c r="AZ65" t="s">
        <v>612</v>
      </c>
      <c r="BA65" t="s">
        <v>197</v>
      </c>
      <c r="BB65" t="s">
        <v>795</v>
      </c>
      <c r="BC65" t="s">
        <v>825</v>
      </c>
      <c r="BD65">
        <v>1545</v>
      </c>
      <c r="BE65">
        <v>1427</v>
      </c>
      <c r="BF65">
        <v>1570</v>
      </c>
      <c r="BG65">
        <v>1535</v>
      </c>
      <c r="BH65">
        <v>1533</v>
      </c>
      <c r="CA65" t="s">
        <v>556</v>
      </c>
      <c r="CB65" t="s">
        <v>177</v>
      </c>
      <c r="CC65" t="s">
        <v>598</v>
      </c>
      <c r="CD65" t="s">
        <v>203</v>
      </c>
      <c r="CE65" t="s">
        <v>215</v>
      </c>
      <c r="CF65" t="s">
        <v>204</v>
      </c>
      <c r="CG65" t="s">
        <v>588</v>
      </c>
      <c r="CH65" t="s">
        <v>216</v>
      </c>
      <c r="CI65" t="s">
        <v>206</v>
      </c>
      <c r="CJ65" t="s">
        <v>203</v>
      </c>
      <c r="CK65" t="s">
        <v>216</v>
      </c>
      <c r="CL65" t="s">
        <v>202</v>
      </c>
      <c r="CM65" t="s">
        <v>588</v>
      </c>
      <c r="CN65" t="s">
        <v>215</v>
      </c>
      <c r="CO65" t="s">
        <v>522</v>
      </c>
      <c r="CP65" t="s">
        <v>203</v>
      </c>
      <c r="CQ65" t="s">
        <v>281</v>
      </c>
      <c r="CR65" t="s">
        <v>214</v>
      </c>
      <c r="CS65" t="s">
        <v>171</v>
      </c>
      <c r="CT65" t="s">
        <v>174</v>
      </c>
      <c r="CU65" t="s">
        <v>211</v>
      </c>
      <c r="CV65" t="s">
        <v>171</v>
      </c>
      <c r="CW65" t="s">
        <v>496</v>
      </c>
      <c r="CX65" t="s">
        <v>494</v>
      </c>
      <c r="CY65" t="s">
        <v>595</v>
      </c>
      <c r="CZ65" t="s">
        <v>201</v>
      </c>
      <c r="DA65" t="s">
        <v>494</v>
      </c>
      <c r="DB65" t="s">
        <v>212</v>
      </c>
      <c r="DC65" t="s">
        <v>201</v>
      </c>
      <c r="DD65" t="s">
        <v>494</v>
      </c>
      <c r="DE65" t="s">
        <v>209</v>
      </c>
      <c r="DF65" t="s">
        <v>496</v>
      </c>
      <c r="DG65" t="s">
        <v>214</v>
      </c>
      <c r="DH65" t="s">
        <v>212</v>
      </c>
      <c r="FH65" t="s">
        <v>1193</v>
      </c>
    </row>
    <row r="66" spans="1:164" x14ac:dyDescent="0.25">
      <c r="A66">
        <v>4</v>
      </c>
      <c r="B66" t="s">
        <v>164</v>
      </c>
      <c r="C66">
        <v>46</v>
      </c>
      <c r="D66">
        <v>4601</v>
      </c>
      <c r="E66">
        <v>976202422</v>
      </c>
      <c r="F66" t="s">
        <v>165</v>
      </c>
      <c r="G66" t="s">
        <v>166</v>
      </c>
      <c r="H66" t="s">
        <v>167</v>
      </c>
      <c r="I66" t="s">
        <v>1194</v>
      </c>
      <c r="J66" t="e">
        <f>TRIM(#REF!)</f>
        <v>#REF!</v>
      </c>
      <c r="K66" t="e">
        <f>#REF!&amp;#REF!&amp;#REF!</f>
        <v>#REF!</v>
      </c>
      <c r="L66" t="str">
        <f>IFERROR(VLOOKUP(#REF!,工作表1!E:I,2,FALSE),"")</f>
        <v/>
      </c>
      <c r="M66" t="str">
        <f>IFERROR(VLOOKUP(#REF!,工作表1!E:I,3,FALSE),"")</f>
        <v/>
      </c>
      <c r="N66" t="str">
        <f>IFERROR(VLOOKUP(#REF!,工作表1!E:I,4,FALSE),"")</f>
        <v/>
      </c>
      <c r="O66" t="str">
        <f>IFERROR(VLOOKUP(#REF!,工作表1!E:I,5,FALSE),"")</f>
        <v/>
      </c>
      <c r="P66" t="s">
        <v>692</v>
      </c>
      <c r="Q66" t="s">
        <v>530</v>
      </c>
      <c r="R66" t="s">
        <v>581</v>
      </c>
      <c r="T66" t="s">
        <v>732</v>
      </c>
      <c r="U66" t="s">
        <v>608</v>
      </c>
      <c r="V66" t="s">
        <v>581</v>
      </c>
      <c r="X66" t="s">
        <v>679</v>
      </c>
      <c r="Y66" t="s">
        <v>502</v>
      </c>
      <c r="Z66" t="s">
        <v>580</v>
      </c>
      <c r="AB66" t="s">
        <v>732</v>
      </c>
      <c r="AC66" t="s">
        <v>580</v>
      </c>
      <c r="AD66" t="s">
        <v>604</v>
      </c>
      <c r="AF66" t="s">
        <v>679</v>
      </c>
      <c r="AG66" t="s">
        <v>505</v>
      </c>
      <c r="AH66" t="s">
        <v>604</v>
      </c>
      <c r="AJ66" t="s">
        <v>480</v>
      </c>
      <c r="AK66" t="s">
        <v>1195</v>
      </c>
      <c r="AL66" t="s">
        <v>1011</v>
      </c>
      <c r="AM66" t="s">
        <v>301</v>
      </c>
      <c r="AN66" t="s">
        <v>476</v>
      </c>
      <c r="AO66" t="s">
        <v>1196</v>
      </c>
      <c r="AP66" t="s">
        <v>1197</v>
      </c>
      <c r="AQ66" t="s">
        <v>564</v>
      </c>
      <c r="AR66" t="s">
        <v>501</v>
      </c>
      <c r="AS66" t="s">
        <v>1198</v>
      </c>
      <c r="AT66" t="s">
        <v>574</v>
      </c>
      <c r="AU66" t="s">
        <v>213</v>
      </c>
      <c r="AV66" t="s">
        <v>170</v>
      </c>
      <c r="AW66" t="s">
        <v>1195</v>
      </c>
      <c r="AX66" t="s">
        <v>1199</v>
      </c>
      <c r="AY66" t="s">
        <v>494</v>
      </c>
      <c r="AZ66" t="s">
        <v>476</v>
      </c>
      <c r="BA66" t="s">
        <v>743</v>
      </c>
      <c r="BB66" t="s">
        <v>1200</v>
      </c>
      <c r="BC66" t="s">
        <v>562</v>
      </c>
      <c r="BD66">
        <v>1046</v>
      </c>
      <c r="BE66">
        <v>1107</v>
      </c>
      <c r="BF66">
        <v>862</v>
      </c>
      <c r="BG66">
        <v>1217</v>
      </c>
      <c r="BH66">
        <v>1140</v>
      </c>
      <c r="BI66" t="s">
        <v>349</v>
      </c>
      <c r="BJ66" t="s">
        <v>350</v>
      </c>
      <c r="BK66" t="s">
        <v>604</v>
      </c>
      <c r="BL66" t="s">
        <v>604</v>
      </c>
      <c r="BM66" t="s">
        <v>604</v>
      </c>
      <c r="BN66" t="s">
        <v>604</v>
      </c>
      <c r="BO66" t="s">
        <v>604</v>
      </c>
      <c r="BP66" t="s">
        <v>604</v>
      </c>
      <c r="BS66" t="s">
        <v>1201</v>
      </c>
      <c r="BT66" t="s">
        <v>481</v>
      </c>
      <c r="BU66" t="s">
        <v>604</v>
      </c>
      <c r="BV66" t="s">
        <v>604</v>
      </c>
      <c r="BW66" t="s">
        <v>823</v>
      </c>
      <c r="BX66" t="s">
        <v>508</v>
      </c>
      <c r="BY66" t="s">
        <v>604</v>
      </c>
      <c r="BZ66" t="s">
        <v>604</v>
      </c>
      <c r="CA66" t="s">
        <v>604</v>
      </c>
      <c r="CB66" t="s">
        <v>604</v>
      </c>
      <c r="CC66" t="s">
        <v>604</v>
      </c>
      <c r="CD66" t="s">
        <v>604</v>
      </c>
      <c r="CE66" t="s">
        <v>604</v>
      </c>
      <c r="CF66" t="s">
        <v>604</v>
      </c>
      <c r="CG66" t="s">
        <v>604</v>
      </c>
      <c r="CH66" t="s">
        <v>604</v>
      </c>
      <c r="CI66" t="s">
        <v>604</v>
      </c>
      <c r="CJ66" t="s">
        <v>604</v>
      </c>
      <c r="CK66" t="s">
        <v>604</v>
      </c>
      <c r="CL66" t="s">
        <v>604</v>
      </c>
      <c r="CM66" t="s">
        <v>604</v>
      </c>
      <c r="CN66" t="s">
        <v>604</v>
      </c>
      <c r="CO66" t="s">
        <v>604</v>
      </c>
      <c r="CP66" t="s">
        <v>604</v>
      </c>
      <c r="CQ66" t="s">
        <v>604</v>
      </c>
      <c r="CR66" t="s">
        <v>604</v>
      </c>
      <c r="CS66" t="s">
        <v>604</v>
      </c>
      <c r="CT66" t="s">
        <v>604</v>
      </c>
      <c r="CU66" t="s">
        <v>604</v>
      </c>
      <c r="CV66" t="s">
        <v>604</v>
      </c>
      <c r="CW66" t="s">
        <v>604</v>
      </c>
      <c r="CX66" t="s">
        <v>604</v>
      </c>
      <c r="CY66" t="s">
        <v>604</v>
      </c>
      <c r="CZ66" t="s">
        <v>604</v>
      </c>
      <c r="DA66" t="s">
        <v>604</v>
      </c>
      <c r="DB66" t="s">
        <v>604</v>
      </c>
      <c r="DC66" t="s">
        <v>604</v>
      </c>
      <c r="DD66" t="s">
        <v>604</v>
      </c>
      <c r="DE66" t="s">
        <v>604</v>
      </c>
      <c r="DF66" t="s">
        <v>604</v>
      </c>
      <c r="DG66" t="s">
        <v>604</v>
      </c>
      <c r="DH66" t="s">
        <v>604</v>
      </c>
      <c r="DI66" t="s">
        <v>604</v>
      </c>
      <c r="DJ66" t="s">
        <v>604</v>
      </c>
      <c r="DK66" t="s">
        <v>604</v>
      </c>
      <c r="DL66" t="s">
        <v>604</v>
      </c>
      <c r="DM66" t="s">
        <v>604</v>
      </c>
      <c r="DN66" t="s">
        <v>604</v>
      </c>
      <c r="DO66" t="s">
        <v>604</v>
      </c>
      <c r="DP66" t="s">
        <v>604</v>
      </c>
      <c r="DQ66" t="s">
        <v>604</v>
      </c>
      <c r="DR66" t="s">
        <v>604</v>
      </c>
      <c r="DS66" t="s">
        <v>604</v>
      </c>
      <c r="DT66" t="s">
        <v>604</v>
      </c>
      <c r="DU66" t="s">
        <v>604</v>
      </c>
      <c r="DV66" t="s">
        <v>604</v>
      </c>
      <c r="DW66" t="s">
        <v>604</v>
      </c>
      <c r="DX66" t="s">
        <v>604</v>
      </c>
      <c r="DY66" t="s">
        <v>604</v>
      </c>
      <c r="DZ66" t="s">
        <v>604</v>
      </c>
      <c r="EA66" t="s">
        <v>604</v>
      </c>
      <c r="EB66" t="s">
        <v>604</v>
      </c>
      <c r="EC66" t="s">
        <v>604</v>
      </c>
      <c r="ED66" t="s">
        <v>604</v>
      </c>
      <c r="EE66" t="s">
        <v>604</v>
      </c>
      <c r="EF66" t="s">
        <v>604</v>
      </c>
      <c r="EG66" t="s">
        <v>604</v>
      </c>
      <c r="EH66" t="s">
        <v>604</v>
      </c>
      <c r="EI66" t="s">
        <v>604</v>
      </c>
      <c r="EJ66" t="s">
        <v>604</v>
      </c>
      <c r="EK66" t="s">
        <v>604</v>
      </c>
      <c r="EL66" t="s">
        <v>604</v>
      </c>
      <c r="EM66" t="s">
        <v>604</v>
      </c>
      <c r="EN66" t="s">
        <v>604</v>
      </c>
      <c r="EO66" t="s">
        <v>604</v>
      </c>
      <c r="EP66" t="s">
        <v>604</v>
      </c>
      <c r="EQ66" t="s">
        <v>604</v>
      </c>
      <c r="ER66" t="s">
        <v>604</v>
      </c>
      <c r="ES66" t="s">
        <v>604</v>
      </c>
      <c r="ET66" t="s">
        <v>604</v>
      </c>
      <c r="EU66" t="s">
        <v>604</v>
      </c>
      <c r="EV66" t="s">
        <v>1202</v>
      </c>
      <c r="EW66" t="s">
        <v>388</v>
      </c>
      <c r="EX66" t="s">
        <v>481</v>
      </c>
      <c r="EY66">
        <v>95</v>
      </c>
      <c r="EZ66">
        <v>10</v>
      </c>
      <c r="FA66" t="s">
        <v>481</v>
      </c>
      <c r="FB66" t="s">
        <v>604</v>
      </c>
      <c r="FC66" t="s">
        <v>604</v>
      </c>
      <c r="FD66" t="s">
        <v>604</v>
      </c>
      <c r="FE66">
        <v>90</v>
      </c>
      <c r="FF66">
        <v>50</v>
      </c>
      <c r="FG66" t="s">
        <v>481</v>
      </c>
      <c r="FH66" t="s">
        <v>1203</v>
      </c>
    </row>
    <row r="67" spans="1:164" x14ac:dyDescent="0.25">
      <c r="A67">
        <v>4</v>
      </c>
      <c r="B67" t="s">
        <v>164</v>
      </c>
      <c r="C67">
        <v>46</v>
      </c>
      <c r="D67">
        <v>4601</v>
      </c>
      <c r="E67">
        <v>974738309</v>
      </c>
      <c r="F67" t="s">
        <v>165</v>
      </c>
      <c r="G67" t="s">
        <v>166</v>
      </c>
      <c r="H67" t="s">
        <v>167</v>
      </c>
      <c r="I67" t="s">
        <v>1204</v>
      </c>
      <c r="J67" t="e">
        <f>TRIM(#REF!)</f>
        <v>#REF!</v>
      </c>
      <c r="K67" t="e">
        <f>#REF!&amp;#REF!&amp;#REF!</f>
        <v>#REF!</v>
      </c>
      <c r="L67" t="str">
        <f>IFERROR(VLOOKUP(#REF!,工作表1!E:I,2,FALSE),"")</f>
        <v/>
      </c>
      <c r="M67" t="str">
        <f>IFERROR(VLOOKUP(#REF!,工作表1!E:I,3,FALSE),"")</f>
        <v/>
      </c>
      <c r="N67" t="str">
        <f>IFERROR(VLOOKUP(#REF!,工作表1!E:I,4,FALSE),"")</f>
        <v/>
      </c>
      <c r="O67" t="str">
        <f>IFERROR(VLOOKUP(#REF!,工作表1!E:I,5,FALSE),"")</f>
        <v/>
      </c>
      <c r="P67" t="s">
        <v>1205</v>
      </c>
      <c r="Q67" t="s">
        <v>489</v>
      </c>
      <c r="R67" t="s">
        <v>604</v>
      </c>
      <c r="T67" t="s">
        <v>1206</v>
      </c>
      <c r="U67" t="s">
        <v>501</v>
      </c>
      <c r="V67" t="s">
        <v>505</v>
      </c>
      <c r="X67" t="s">
        <v>1207</v>
      </c>
      <c r="Y67" t="s">
        <v>476</v>
      </c>
      <c r="Z67" t="s">
        <v>604</v>
      </c>
      <c r="AB67" t="s">
        <v>1208</v>
      </c>
      <c r="AC67" t="s">
        <v>489</v>
      </c>
      <c r="AD67" t="s">
        <v>608</v>
      </c>
      <c r="AF67" t="s">
        <v>1209</v>
      </c>
      <c r="AG67" t="s">
        <v>195</v>
      </c>
      <c r="AH67" t="s">
        <v>508</v>
      </c>
      <c r="AJ67" t="s">
        <v>1043</v>
      </c>
      <c r="AK67" t="s">
        <v>1210</v>
      </c>
      <c r="AL67" t="s">
        <v>1211</v>
      </c>
      <c r="AM67" t="s">
        <v>632</v>
      </c>
      <c r="AN67" t="s">
        <v>732</v>
      </c>
      <c r="AO67" t="s">
        <v>1212</v>
      </c>
      <c r="AP67" t="s">
        <v>1213</v>
      </c>
      <c r="AQ67" t="s">
        <v>631</v>
      </c>
      <c r="AR67" t="s">
        <v>1043</v>
      </c>
      <c r="AS67" t="s">
        <v>1214</v>
      </c>
      <c r="AT67" t="s">
        <v>1215</v>
      </c>
      <c r="AU67" t="s">
        <v>306</v>
      </c>
      <c r="AV67" t="s">
        <v>692</v>
      </c>
      <c r="AW67" t="s">
        <v>1216</v>
      </c>
      <c r="AX67" t="s">
        <v>1217</v>
      </c>
      <c r="AY67" t="s">
        <v>1197</v>
      </c>
      <c r="AZ67" t="s">
        <v>1029</v>
      </c>
      <c r="BA67" t="s">
        <v>1218</v>
      </c>
      <c r="BB67" t="s">
        <v>1219</v>
      </c>
      <c r="BC67" t="s">
        <v>637</v>
      </c>
      <c r="BD67">
        <v>1622</v>
      </c>
      <c r="BE67">
        <v>1634</v>
      </c>
      <c r="BF67">
        <v>1589</v>
      </c>
      <c r="BG67">
        <v>1507</v>
      </c>
      <c r="BH67">
        <v>1481</v>
      </c>
      <c r="BI67" t="s">
        <v>261</v>
      </c>
      <c r="BJ67" t="s">
        <v>262</v>
      </c>
      <c r="BK67" t="s">
        <v>190</v>
      </c>
      <c r="BL67" t="s">
        <v>956</v>
      </c>
      <c r="BM67" t="s">
        <v>633</v>
      </c>
      <c r="BN67" t="s">
        <v>569</v>
      </c>
      <c r="BO67" t="s">
        <v>637</v>
      </c>
      <c r="BP67" t="s">
        <v>954</v>
      </c>
      <c r="BQ67" t="s">
        <v>550</v>
      </c>
      <c r="BR67" t="s">
        <v>956</v>
      </c>
      <c r="BS67" t="s">
        <v>541</v>
      </c>
      <c r="BT67" t="s">
        <v>1220</v>
      </c>
      <c r="BU67" t="s">
        <v>1221</v>
      </c>
      <c r="BV67" t="s">
        <v>954</v>
      </c>
      <c r="BW67" t="s">
        <v>1038</v>
      </c>
      <c r="BX67" t="s">
        <v>569</v>
      </c>
      <c r="CA67" t="s">
        <v>556</v>
      </c>
      <c r="CD67" t="s">
        <v>556</v>
      </c>
      <c r="CE67" t="s">
        <v>201</v>
      </c>
      <c r="CF67" t="s">
        <v>644</v>
      </c>
      <c r="CG67" t="s">
        <v>205</v>
      </c>
      <c r="CH67" t="s">
        <v>216</v>
      </c>
      <c r="CI67" t="s">
        <v>213</v>
      </c>
      <c r="CJ67" t="s">
        <v>183</v>
      </c>
      <c r="CK67" t="s">
        <v>216</v>
      </c>
      <c r="CL67" t="s">
        <v>497</v>
      </c>
      <c r="CM67" t="s">
        <v>582</v>
      </c>
      <c r="CN67" t="s">
        <v>216</v>
      </c>
      <c r="CO67" t="s">
        <v>202</v>
      </c>
      <c r="CP67" t="s">
        <v>582</v>
      </c>
      <c r="CQ67" t="s">
        <v>207</v>
      </c>
      <c r="CR67" t="s">
        <v>557</v>
      </c>
      <c r="CS67" t="s">
        <v>174</v>
      </c>
      <c r="CT67" t="s">
        <v>201</v>
      </c>
      <c r="CU67" t="s">
        <v>214</v>
      </c>
      <c r="CV67" t="s">
        <v>205</v>
      </c>
      <c r="CW67" t="s">
        <v>201</v>
      </c>
      <c r="CX67" t="s">
        <v>557</v>
      </c>
      <c r="CY67" t="s">
        <v>205</v>
      </c>
      <c r="CZ67" t="s">
        <v>177</v>
      </c>
      <c r="DA67" t="s">
        <v>204</v>
      </c>
      <c r="DB67" t="s">
        <v>281</v>
      </c>
      <c r="DC67" t="s">
        <v>201</v>
      </c>
      <c r="DD67" t="s">
        <v>214</v>
      </c>
      <c r="DE67" t="s">
        <v>207</v>
      </c>
      <c r="DF67" t="s">
        <v>201</v>
      </c>
      <c r="DG67" t="s">
        <v>202</v>
      </c>
      <c r="DH67" t="s">
        <v>281</v>
      </c>
      <c r="DI67" t="s">
        <v>281</v>
      </c>
      <c r="DJ67" t="s">
        <v>558</v>
      </c>
      <c r="DK67" t="s">
        <v>1141</v>
      </c>
      <c r="DL67" t="s">
        <v>281</v>
      </c>
      <c r="DM67" t="s">
        <v>560</v>
      </c>
      <c r="DN67" t="s">
        <v>569</v>
      </c>
      <c r="DO67" t="s">
        <v>205</v>
      </c>
      <c r="DP67" t="s">
        <v>566</v>
      </c>
      <c r="DQ67" t="s">
        <v>967</v>
      </c>
      <c r="DR67" t="s">
        <v>205</v>
      </c>
      <c r="DS67" t="s">
        <v>301</v>
      </c>
      <c r="DT67" t="s">
        <v>1141</v>
      </c>
      <c r="DU67" t="s">
        <v>201</v>
      </c>
      <c r="DV67" t="s">
        <v>495</v>
      </c>
      <c r="DW67" t="s">
        <v>567</v>
      </c>
      <c r="DX67" t="s">
        <v>281</v>
      </c>
      <c r="DY67" t="s">
        <v>669</v>
      </c>
      <c r="DZ67" t="s">
        <v>568</v>
      </c>
      <c r="EA67" t="s">
        <v>205</v>
      </c>
      <c r="EB67" t="s">
        <v>566</v>
      </c>
      <c r="EC67" t="s">
        <v>567</v>
      </c>
      <c r="ED67" t="s">
        <v>201</v>
      </c>
      <c r="EE67" t="s">
        <v>566</v>
      </c>
      <c r="EF67" t="s">
        <v>754</v>
      </c>
      <c r="EG67" t="s">
        <v>281</v>
      </c>
      <c r="EH67" t="s">
        <v>566</v>
      </c>
      <c r="EI67" t="s">
        <v>568</v>
      </c>
      <c r="EJ67" t="s">
        <v>205</v>
      </c>
      <c r="EK67" t="s">
        <v>560</v>
      </c>
      <c r="EL67" t="s">
        <v>567</v>
      </c>
      <c r="EM67" t="s">
        <v>174</v>
      </c>
      <c r="EN67" t="s">
        <v>560</v>
      </c>
      <c r="EO67" t="s">
        <v>754</v>
      </c>
      <c r="EP67" t="s">
        <v>205</v>
      </c>
      <c r="EQ67" t="s">
        <v>669</v>
      </c>
      <c r="ER67" t="s">
        <v>754</v>
      </c>
      <c r="ES67" t="s">
        <v>731</v>
      </c>
      <c r="ET67" t="s">
        <v>731</v>
      </c>
      <c r="EU67" t="s">
        <v>639</v>
      </c>
      <c r="EV67" t="s">
        <v>300</v>
      </c>
      <c r="EW67" t="s">
        <v>211</v>
      </c>
      <c r="EX67" t="s">
        <v>751</v>
      </c>
      <c r="EY67">
        <v>80</v>
      </c>
      <c r="EZ67">
        <v>50</v>
      </c>
      <c r="FA67" t="s">
        <v>1222</v>
      </c>
      <c r="FB67" t="s">
        <v>468</v>
      </c>
      <c r="FC67" t="s">
        <v>632</v>
      </c>
      <c r="FD67" t="s">
        <v>968</v>
      </c>
      <c r="FE67">
        <v>100</v>
      </c>
      <c r="FF67">
        <v>80</v>
      </c>
      <c r="FG67" t="s">
        <v>1139</v>
      </c>
      <c r="FH67" t="s">
        <v>1223</v>
      </c>
    </row>
    <row r="68" spans="1:164" x14ac:dyDescent="0.25">
      <c r="A68">
        <v>4</v>
      </c>
      <c r="B68" t="s">
        <v>164</v>
      </c>
      <c r="C68">
        <v>46</v>
      </c>
      <c r="D68">
        <v>4601</v>
      </c>
      <c r="E68">
        <v>874737852</v>
      </c>
      <c r="F68" t="s">
        <v>165</v>
      </c>
      <c r="G68" t="s">
        <v>166</v>
      </c>
      <c r="H68" t="s">
        <v>167</v>
      </c>
      <c r="I68" t="s">
        <v>1224</v>
      </c>
      <c r="J68" t="e">
        <f>TRIM(#REF!)</f>
        <v>#REF!</v>
      </c>
      <c r="K68" t="e">
        <f>#REF!&amp;#REF!&amp;#REF!</f>
        <v>#REF!</v>
      </c>
      <c r="L68" t="str">
        <f>IFERROR(VLOOKUP(#REF!,工作表1!E:I,2,FALSE),"")</f>
        <v/>
      </c>
      <c r="M68" t="str">
        <f>IFERROR(VLOOKUP(#REF!,工作表1!E:I,3,FALSE),"")</f>
        <v/>
      </c>
      <c r="N68" t="str">
        <f>IFERROR(VLOOKUP(#REF!,工作表1!E:I,4,FALSE),"")</f>
        <v/>
      </c>
      <c r="O68" t="str">
        <f>IFERROR(VLOOKUP(#REF!,工作表1!E:I,5,FALSE),"")</f>
        <v/>
      </c>
      <c r="P68" t="s">
        <v>1225</v>
      </c>
      <c r="Q68" t="s">
        <v>177</v>
      </c>
      <c r="R68" t="s">
        <v>170</v>
      </c>
      <c r="T68" t="s">
        <v>1070</v>
      </c>
      <c r="U68" t="s">
        <v>209</v>
      </c>
      <c r="V68" t="s">
        <v>612</v>
      </c>
      <c r="X68" t="s">
        <v>1226</v>
      </c>
      <c r="Y68" t="s">
        <v>212</v>
      </c>
      <c r="Z68" t="s">
        <v>533</v>
      </c>
      <c r="AB68" t="s">
        <v>1163</v>
      </c>
      <c r="AC68" t="s">
        <v>209</v>
      </c>
      <c r="AD68" t="s">
        <v>191</v>
      </c>
      <c r="AF68" t="s">
        <v>1102</v>
      </c>
      <c r="AG68" t="s">
        <v>524</v>
      </c>
      <c r="AH68" t="s">
        <v>523</v>
      </c>
      <c r="AJ68" t="s">
        <v>489</v>
      </c>
      <c r="AK68" t="s">
        <v>798</v>
      </c>
      <c r="AL68" t="s">
        <v>799</v>
      </c>
      <c r="AM68" t="s">
        <v>1227</v>
      </c>
      <c r="AN68" t="s">
        <v>179</v>
      </c>
      <c r="AO68" t="s">
        <v>482</v>
      </c>
      <c r="AP68" t="s">
        <v>700</v>
      </c>
      <c r="AQ68" t="s">
        <v>1228</v>
      </c>
      <c r="AR68" t="s">
        <v>612</v>
      </c>
      <c r="AS68" t="s">
        <v>491</v>
      </c>
      <c r="AT68" t="s">
        <v>625</v>
      </c>
      <c r="AU68" t="s">
        <v>717</v>
      </c>
      <c r="AV68" t="s">
        <v>176</v>
      </c>
      <c r="AW68" t="s">
        <v>763</v>
      </c>
      <c r="AX68" t="s">
        <v>787</v>
      </c>
      <c r="AY68" t="s">
        <v>1229</v>
      </c>
      <c r="AZ68" t="s">
        <v>612</v>
      </c>
      <c r="BA68" t="s">
        <v>761</v>
      </c>
      <c r="BB68" t="s">
        <v>590</v>
      </c>
      <c r="BC68" t="s">
        <v>305</v>
      </c>
      <c r="BD68">
        <v>1529</v>
      </c>
      <c r="BE68">
        <v>1434</v>
      </c>
      <c r="BF68">
        <v>1838</v>
      </c>
      <c r="BG68">
        <v>1441</v>
      </c>
      <c r="BH68">
        <v>1150</v>
      </c>
      <c r="BY68" t="s">
        <v>496</v>
      </c>
      <c r="BZ68" t="s">
        <v>630</v>
      </c>
      <c r="CA68" t="s">
        <v>512</v>
      </c>
      <c r="CB68" t="s">
        <v>201</v>
      </c>
      <c r="CC68" t="s">
        <v>522</v>
      </c>
      <c r="CD68" t="s">
        <v>612</v>
      </c>
      <c r="CE68" t="s">
        <v>174</v>
      </c>
      <c r="CF68" t="s">
        <v>208</v>
      </c>
      <c r="CG68" t="s">
        <v>533</v>
      </c>
      <c r="CH68" t="s">
        <v>496</v>
      </c>
      <c r="CI68" t="s">
        <v>211</v>
      </c>
      <c r="CJ68" t="s">
        <v>519</v>
      </c>
      <c r="CK68" t="s">
        <v>496</v>
      </c>
      <c r="CL68" t="s">
        <v>211</v>
      </c>
      <c r="CM68" t="s">
        <v>519</v>
      </c>
      <c r="CN68" t="s">
        <v>600</v>
      </c>
      <c r="CO68" t="s">
        <v>721</v>
      </c>
      <c r="CP68" t="s">
        <v>182</v>
      </c>
      <c r="CQ68" t="s">
        <v>205</v>
      </c>
      <c r="CR68" t="s">
        <v>644</v>
      </c>
      <c r="CS68" t="s">
        <v>519</v>
      </c>
      <c r="CT68" t="s">
        <v>183</v>
      </c>
      <c r="CU68" t="s">
        <v>721</v>
      </c>
      <c r="CV68" t="s">
        <v>474</v>
      </c>
      <c r="CW68" t="s">
        <v>201</v>
      </c>
      <c r="CX68" t="s">
        <v>557</v>
      </c>
      <c r="CY68" t="s">
        <v>533</v>
      </c>
      <c r="CZ68" t="s">
        <v>201</v>
      </c>
      <c r="DA68" t="s">
        <v>186</v>
      </c>
      <c r="DB68" t="s">
        <v>474</v>
      </c>
      <c r="DC68" t="s">
        <v>207</v>
      </c>
      <c r="DD68" t="s">
        <v>351</v>
      </c>
      <c r="DE68" t="s">
        <v>474</v>
      </c>
      <c r="DF68" t="s">
        <v>183</v>
      </c>
      <c r="DG68" t="s">
        <v>629</v>
      </c>
      <c r="DH68" t="s">
        <v>533</v>
      </c>
      <c r="FH68" t="s">
        <v>1230</v>
      </c>
    </row>
    <row r="69" spans="1:164" x14ac:dyDescent="0.25">
      <c r="A69">
        <v>4</v>
      </c>
      <c r="B69" t="s">
        <v>164</v>
      </c>
      <c r="C69">
        <v>46</v>
      </c>
      <c r="D69">
        <v>4601</v>
      </c>
      <c r="E69">
        <v>922148872</v>
      </c>
      <c r="F69" t="s">
        <v>165</v>
      </c>
      <c r="G69" t="s">
        <v>166</v>
      </c>
      <c r="H69" t="s">
        <v>167</v>
      </c>
      <c r="I69" t="s">
        <v>1231</v>
      </c>
      <c r="J69" t="e">
        <f>TRIM(#REF!)</f>
        <v>#REF!</v>
      </c>
      <c r="K69" t="e">
        <f>#REF!&amp;#REF!&amp;#REF!</f>
        <v>#REF!</v>
      </c>
      <c r="L69" t="str">
        <f>IFERROR(VLOOKUP(#REF!,工作表1!E:I,2,FALSE),"")</f>
        <v/>
      </c>
      <c r="M69" t="str">
        <f>IFERROR(VLOOKUP(#REF!,工作表1!E:I,3,FALSE),"")</f>
        <v/>
      </c>
      <c r="N69" t="str">
        <f>IFERROR(VLOOKUP(#REF!,工作表1!E:I,4,FALSE),"")</f>
        <v/>
      </c>
      <c r="O69" t="str">
        <f>IFERROR(VLOOKUP(#REF!,工作表1!E:I,5,FALSE),"")</f>
        <v/>
      </c>
      <c r="P69" t="s">
        <v>212</v>
      </c>
      <c r="Q69" t="s">
        <v>556</v>
      </c>
      <c r="R69" t="s">
        <v>556</v>
      </c>
      <c r="T69" t="s">
        <v>722</v>
      </c>
      <c r="U69" t="s">
        <v>556</v>
      </c>
      <c r="V69" t="s">
        <v>556</v>
      </c>
      <c r="X69" t="s">
        <v>1185</v>
      </c>
      <c r="Y69" t="s">
        <v>556</v>
      </c>
      <c r="Z69" t="s">
        <v>556</v>
      </c>
      <c r="AB69" t="s">
        <v>565</v>
      </c>
      <c r="AC69" t="s">
        <v>604</v>
      </c>
      <c r="AD69" t="s">
        <v>556</v>
      </c>
      <c r="AF69" t="s">
        <v>708</v>
      </c>
      <c r="AG69" t="s">
        <v>604</v>
      </c>
      <c r="AH69" t="s">
        <v>556</v>
      </c>
      <c r="AJ69" t="s">
        <v>481</v>
      </c>
      <c r="AK69" t="s">
        <v>629</v>
      </c>
      <c r="AL69" t="s">
        <v>208</v>
      </c>
      <c r="AM69" t="s">
        <v>274</v>
      </c>
      <c r="AN69" t="s">
        <v>608</v>
      </c>
      <c r="AO69" t="s">
        <v>623</v>
      </c>
      <c r="AP69" t="s">
        <v>637</v>
      </c>
      <c r="AQ69" t="s">
        <v>439</v>
      </c>
      <c r="AR69" t="s">
        <v>505</v>
      </c>
      <c r="AS69" t="s">
        <v>550</v>
      </c>
      <c r="AT69" t="s">
        <v>351</v>
      </c>
      <c r="AU69" t="s">
        <v>642</v>
      </c>
      <c r="AV69" t="s">
        <v>480</v>
      </c>
      <c r="AW69" t="s">
        <v>536</v>
      </c>
      <c r="AX69" t="s">
        <v>1091</v>
      </c>
      <c r="AY69" t="s">
        <v>360</v>
      </c>
      <c r="AZ69" t="s">
        <v>473</v>
      </c>
      <c r="BA69" t="s">
        <v>1232</v>
      </c>
      <c r="BB69" t="s">
        <v>1233</v>
      </c>
      <c r="BC69" t="s">
        <v>953</v>
      </c>
      <c r="BD69">
        <v>2100</v>
      </c>
      <c r="BE69">
        <v>2502</v>
      </c>
      <c r="BF69">
        <v>3953</v>
      </c>
      <c r="BG69">
        <v>2108</v>
      </c>
      <c r="BH69">
        <v>2340</v>
      </c>
      <c r="BI69" t="s">
        <v>349</v>
      </c>
      <c r="BJ69" t="s">
        <v>350</v>
      </c>
      <c r="BO69" t="s">
        <v>604</v>
      </c>
      <c r="BP69" t="s">
        <v>604</v>
      </c>
      <c r="BU69" t="s">
        <v>1221</v>
      </c>
      <c r="BV69" t="s">
        <v>212</v>
      </c>
      <c r="BW69" t="s">
        <v>1234</v>
      </c>
      <c r="BX69" t="s">
        <v>195</v>
      </c>
      <c r="DI69" t="s">
        <v>174</v>
      </c>
      <c r="DJ69" t="s">
        <v>204</v>
      </c>
      <c r="DK69" t="s">
        <v>612</v>
      </c>
      <c r="DL69" t="s">
        <v>207</v>
      </c>
      <c r="DM69" t="s">
        <v>495</v>
      </c>
      <c r="DN69" t="s">
        <v>176</v>
      </c>
      <c r="DO69" t="s">
        <v>183</v>
      </c>
      <c r="DP69" t="s">
        <v>629</v>
      </c>
      <c r="DQ69" t="s">
        <v>519</v>
      </c>
      <c r="DR69" t="s">
        <v>281</v>
      </c>
      <c r="DS69" t="s">
        <v>630</v>
      </c>
      <c r="DT69" t="s">
        <v>187</v>
      </c>
      <c r="DU69" t="s">
        <v>281</v>
      </c>
      <c r="DV69" t="s">
        <v>522</v>
      </c>
      <c r="DW69" t="s">
        <v>187</v>
      </c>
      <c r="DX69" t="s">
        <v>205</v>
      </c>
      <c r="DY69" t="s">
        <v>204</v>
      </c>
      <c r="DZ69" t="s">
        <v>187</v>
      </c>
      <c r="EA69" t="s">
        <v>174</v>
      </c>
      <c r="EB69" t="s">
        <v>301</v>
      </c>
      <c r="EC69" t="s">
        <v>586</v>
      </c>
      <c r="ED69" t="s">
        <v>174</v>
      </c>
      <c r="EE69" t="s">
        <v>301</v>
      </c>
      <c r="EF69" t="s">
        <v>586</v>
      </c>
      <c r="EG69" t="s">
        <v>201</v>
      </c>
      <c r="EH69" t="s">
        <v>669</v>
      </c>
      <c r="EI69" t="s">
        <v>584</v>
      </c>
      <c r="EJ69" t="s">
        <v>174</v>
      </c>
      <c r="EK69" t="s">
        <v>560</v>
      </c>
      <c r="EL69" t="s">
        <v>819</v>
      </c>
      <c r="EM69" t="s">
        <v>201</v>
      </c>
      <c r="EN69" t="s">
        <v>566</v>
      </c>
      <c r="EO69" t="s">
        <v>967</v>
      </c>
      <c r="EP69" t="s">
        <v>205</v>
      </c>
      <c r="EQ69" t="s">
        <v>560</v>
      </c>
      <c r="ER69" t="s">
        <v>1141</v>
      </c>
      <c r="FB69" t="s">
        <v>306</v>
      </c>
      <c r="FC69" t="s">
        <v>305</v>
      </c>
      <c r="FD69" t="s">
        <v>212</v>
      </c>
      <c r="FE69">
        <v>10</v>
      </c>
      <c r="FF69">
        <v>50</v>
      </c>
      <c r="FG69" t="s">
        <v>195</v>
      </c>
      <c r="FH69" t="s">
        <v>1235</v>
      </c>
    </row>
    <row r="70" spans="1:164" x14ac:dyDescent="0.25">
      <c r="A70">
        <v>4</v>
      </c>
      <c r="B70" t="s">
        <v>164</v>
      </c>
      <c r="C70">
        <v>46</v>
      </c>
      <c r="D70">
        <v>4601</v>
      </c>
      <c r="E70">
        <v>922148872</v>
      </c>
      <c r="F70" t="s">
        <v>165</v>
      </c>
      <c r="G70" t="s">
        <v>166</v>
      </c>
      <c r="H70" t="s">
        <v>167</v>
      </c>
      <c r="I70" t="s">
        <v>1231</v>
      </c>
      <c r="J70" t="e">
        <f>TRIM(#REF!)</f>
        <v>#REF!</v>
      </c>
      <c r="K70" t="e">
        <f>#REF!&amp;#REF!&amp;#REF!</f>
        <v>#REF!</v>
      </c>
      <c r="L70" t="str">
        <f>IFERROR(VLOOKUP(#REF!,工作表1!E:I,2,FALSE),"")</f>
        <v/>
      </c>
      <c r="M70" t="str">
        <f>IFERROR(VLOOKUP(#REF!,工作表1!E:I,3,FALSE),"")</f>
        <v/>
      </c>
      <c r="N70" t="str">
        <f>IFERROR(VLOOKUP(#REF!,工作表1!E:I,4,FALSE),"")</f>
        <v/>
      </c>
      <c r="O70" t="str">
        <f>IFERROR(VLOOKUP(#REF!,工作表1!E:I,5,FALSE),"")</f>
        <v/>
      </c>
      <c r="P70" t="s">
        <v>212</v>
      </c>
      <c r="Q70" t="s">
        <v>556</v>
      </c>
      <c r="R70" t="s">
        <v>556</v>
      </c>
      <c r="T70" t="s">
        <v>722</v>
      </c>
      <c r="U70" t="s">
        <v>556</v>
      </c>
      <c r="V70" t="s">
        <v>556</v>
      </c>
      <c r="X70" t="s">
        <v>1185</v>
      </c>
      <c r="Y70" t="s">
        <v>556</v>
      </c>
      <c r="Z70" t="s">
        <v>556</v>
      </c>
      <c r="AB70" t="s">
        <v>565</v>
      </c>
      <c r="AC70" t="s">
        <v>604</v>
      </c>
      <c r="AD70" t="s">
        <v>556</v>
      </c>
      <c r="AF70" t="s">
        <v>708</v>
      </c>
      <c r="AG70" t="s">
        <v>604</v>
      </c>
      <c r="AH70" t="s">
        <v>556</v>
      </c>
      <c r="AJ70" t="s">
        <v>481</v>
      </c>
      <c r="AK70" t="s">
        <v>629</v>
      </c>
      <c r="AL70" t="s">
        <v>208</v>
      </c>
      <c r="AM70" t="s">
        <v>274</v>
      </c>
      <c r="AN70" t="s">
        <v>608</v>
      </c>
      <c r="AO70" t="s">
        <v>623</v>
      </c>
      <c r="AP70" t="s">
        <v>637</v>
      </c>
      <c r="AQ70" t="s">
        <v>439</v>
      </c>
      <c r="AR70" t="s">
        <v>505</v>
      </c>
      <c r="AS70" t="s">
        <v>550</v>
      </c>
      <c r="AT70" t="s">
        <v>351</v>
      </c>
      <c r="AU70" t="s">
        <v>642</v>
      </c>
      <c r="AV70" t="s">
        <v>480</v>
      </c>
      <c r="AW70" t="s">
        <v>536</v>
      </c>
      <c r="AX70" t="s">
        <v>1091</v>
      </c>
      <c r="AY70" t="s">
        <v>360</v>
      </c>
      <c r="AZ70" t="s">
        <v>473</v>
      </c>
      <c r="BA70" t="s">
        <v>1232</v>
      </c>
      <c r="BB70" t="s">
        <v>1233</v>
      </c>
      <c r="BC70" t="s">
        <v>953</v>
      </c>
      <c r="BD70">
        <v>2100</v>
      </c>
      <c r="BE70">
        <v>2502</v>
      </c>
      <c r="BF70">
        <v>3953</v>
      </c>
      <c r="BG70">
        <v>2108</v>
      </c>
      <c r="BH70">
        <v>2340</v>
      </c>
      <c r="BI70" t="s">
        <v>261</v>
      </c>
      <c r="BJ70" t="s">
        <v>262</v>
      </c>
      <c r="BO70" t="s">
        <v>190</v>
      </c>
      <c r="BP70" t="s">
        <v>212</v>
      </c>
      <c r="BQ70" t="s">
        <v>263</v>
      </c>
      <c r="BR70" t="s">
        <v>195</v>
      </c>
      <c r="BU70" t="s">
        <v>1221</v>
      </c>
      <c r="BV70" t="s">
        <v>212</v>
      </c>
      <c r="BW70" t="s">
        <v>1234</v>
      </c>
      <c r="BX70" t="s">
        <v>195</v>
      </c>
      <c r="DI70" t="s">
        <v>174</v>
      </c>
      <c r="DJ70" t="s">
        <v>204</v>
      </c>
      <c r="DK70" t="s">
        <v>612</v>
      </c>
      <c r="DL70" t="s">
        <v>207</v>
      </c>
      <c r="DM70" t="s">
        <v>495</v>
      </c>
      <c r="DN70" t="s">
        <v>176</v>
      </c>
      <c r="DO70" t="s">
        <v>183</v>
      </c>
      <c r="DP70" t="s">
        <v>629</v>
      </c>
      <c r="DQ70" t="s">
        <v>519</v>
      </c>
      <c r="DR70" t="s">
        <v>281</v>
      </c>
      <c r="DS70" t="s">
        <v>630</v>
      </c>
      <c r="DT70" t="s">
        <v>187</v>
      </c>
      <c r="DU70" t="s">
        <v>281</v>
      </c>
      <c r="DV70" t="s">
        <v>522</v>
      </c>
      <c r="DW70" t="s">
        <v>187</v>
      </c>
      <c r="DX70" t="s">
        <v>205</v>
      </c>
      <c r="DY70" t="s">
        <v>204</v>
      </c>
      <c r="DZ70" t="s">
        <v>187</v>
      </c>
      <c r="EA70" t="s">
        <v>174</v>
      </c>
      <c r="EB70" t="s">
        <v>301</v>
      </c>
      <c r="EC70" t="s">
        <v>586</v>
      </c>
      <c r="ED70" t="s">
        <v>174</v>
      </c>
      <c r="EE70" t="s">
        <v>301</v>
      </c>
      <c r="EF70" t="s">
        <v>586</v>
      </c>
      <c r="EG70" t="s">
        <v>201</v>
      </c>
      <c r="EH70" t="s">
        <v>669</v>
      </c>
      <c r="EI70" t="s">
        <v>584</v>
      </c>
      <c r="EJ70" t="s">
        <v>174</v>
      </c>
      <c r="EK70" t="s">
        <v>560</v>
      </c>
      <c r="EL70" t="s">
        <v>819</v>
      </c>
      <c r="EM70" t="s">
        <v>201</v>
      </c>
      <c r="EN70" t="s">
        <v>566</v>
      </c>
      <c r="EO70" t="s">
        <v>967</v>
      </c>
      <c r="EP70" t="s">
        <v>205</v>
      </c>
      <c r="EQ70" t="s">
        <v>560</v>
      </c>
      <c r="ER70" t="s">
        <v>1141</v>
      </c>
      <c r="FB70" t="s">
        <v>306</v>
      </c>
      <c r="FC70" t="s">
        <v>305</v>
      </c>
      <c r="FD70" t="s">
        <v>212</v>
      </c>
      <c r="FE70">
        <v>10</v>
      </c>
      <c r="FF70">
        <v>50</v>
      </c>
      <c r="FG70" t="s">
        <v>195</v>
      </c>
      <c r="FH70" t="s">
        <v>1235</v>
      </c>
    </row>
    <row r="71" spans="1:164" x14ac:dyDescent="0.25">
      <c r="A71">
        <v>4</v>
      </c>
      <c r="B71" t="s">
        <v>164</v>
      </c>
      <c r="C71">
        <v>46</v>
      </c>
      <c r="D71">
        <v>4601</v>
      </c>
      <c r="E71">
        <v>974737906</v>
      </c>
      <c r="F71" t="s">
        <v>165</v>
      </c>
      <c r="G71" t="s">
        <v>166</v>
      </c>
      <c r="H71" t="s">
        <v>167</v>
      </c>
      <c r="I71" t="s">
        <v>1236</v>
      </c>
      <c r="J71" t="e">
        <f>TRIM(#REF!)</f>
        <v>#REF!</v>
      </c>
      <c r="K71" t="e">
        <f>#REF!&amp;#REF!&amp;#REF!</f>
        <v>#REF!</v>
      </c>
      <c r="L71" t="str">
        <f>IFERROR(VLOOKUP(#REF!,工作表1!E:I,2,FALSE),"")</f>
        <v/>
      </c>
      <c r="M71" t="str">
        <f>IFERROR(VLOOKUP(#REF!,工作表1!E:I,3,FALSE),"")</f>
        <v/>
      </c>
      <c r="N71" t="str">
        <f>IFERROR(VLOOKUP(#REF!,工作表1!E:I,4,FALSE),"")</f>
        <v/>
      </c>
      <c r="O71" t="str">
        <f>IFERROR(VLOOKUP(#REF!,工作表1!E:I,5,FALSE),"")</f>
        <v/>
      </c>
      <c r="P71" t="s">
        <v>320</v>
      </c>
      <c r="Q71" t="s">
        <v>580</v>
      </c>
      <c r="R71" t="s">
        <v>1005</v>
      </c>
      <c r="T71" t="s">
        <v>312</v>
      </c>
      <c r="U71" t="s">
        <v>476</v>
      </c>
      <c r="V71" t="s">
        <v>1138</v>
      </c>
      <c r="X71" t="s">
        <v>696</v>
      </c>
      <c r="Y71" t="s">
        <v>473</v>
      </c>
      <c r="Z71" t="s">
        <v>395</v>
      </c>
      <c r="AB71" t="s">
        <v>1237</v>
      </c>
      <c r="AC71" t="s">
        <v>203</v>
      </c>
      <c r="AD71" t="s">
        <v>563</v>
      </c>
      <c r="AF71" t="s">
        <v>1238</v>
      </c>
      <c r="AG71" t="s">
        <v>523</v>
      </c>
      <c r="AH71" t="s">
        <v>1239</v>
      </c>
      <c r="AJ71" t="s">
        <v>212</v>
      </c>
      <c r="AK71" t="s">
        <v>1240</v>
      </c>
      <c r="AL71" t="s">
        <v>1157</v>
      </c>
      <c r="AM71" t="s">
        <v>211</v>
      </c>
      <c r="AN71" t="s">
        <v>525</v>
      </c>
      <c r="AO71" t="s">
        <v>1059</v>
      </c>
      <c r="AP71" t="s">
        <v>786</v>
      </c>
      <c r="AQ71" t="s">
        <v>214</v>
      </c>
      <c r="AR71" t="s">
        <v>212</v>
      </c>
      <c r="AS71" t="s">
        <v>1241</v>
      </c>
      <c r="AT71" t="s">
        <v>1156</v>
      </c>
      <c r="AU71" t="s">
        <v>190</v>
      </c>
      <c r="AV71" t="s">
        <v>171</v>
      </c>
      <c r="AW71" t="s">
        <v>850</v>
      </c>
      <c r="AX71" t="s">
        <v>1134</v>
      </c>
      <c r="AY71" t="s">
        <v>829</v>
      </c>
      <c r="AZ71" t="s">
        <v>203</v>
      </c>
      <c r="BA71" t="s">
        <v>1242</v>
      </c>
      <c r="BB71" t="s">
        <v>1136</v>
      </c>
      <c r="BC71" t="s">
        <v>571</v>
      </c>
      <c r="BD71">
        <v>1315</v>
      </c>
      <c r="BE71">
        <v>1512</v>
      </c>
      <c r="BF71">
        <v>1475</v>
      </c>
      <c r="BG71">
        <v>1429</v>
      </c>
      <c r="BH71">
        <v>1418</v>
      </c>
      <c r="BI71" t="s">
        <v>261</v>
      </c>
      <c r="BJ71" t="s">
        <v>262</v>
      </c>
      <c r="BK71" t="s">
        <v>604</v>
      </c>
      <c r="BL71" t="s">
        <v>604</v>
      </c>
      <c r="BM71" t="s">
        <v>604</v>
      </c>
      <c r="BN71" t="s">
        <v>604</v>
      </c>
      <c r="BO71" t="s">
        <v>604</v>
      </c>
      <c r="BP71" t="s">
        <v>604</v>
      </c>
      <c r="BQ71" t="s">
        <v>604</v>
      </c>
      <c r="BR71" t="s">
        <v>604</v>
      </c>
      <c r="BS71" t="s">
        <v>604</v>
      </c>
      <c r="BT71" t="s">
        <v>604</v>
      </c>
      <c r="BU71" t="s">
        <v>604</v>
      </c>
      <c r="BV71" t="s">
        <v>604</v>
      </c>
      <c r="BW71" t="s">
        <v>604</v>
      </c>
      <c r="BX71" t="s">
        <v>604</v>
      </c>
      <c r="BY71" t="s">
        <v>215</v>
      </c>
      <c r="BZ71" t="s">
        <v>522</v>
      </c>
      <c r="CA71" t="s">
        <v>512</v>
      </c>
      <c r="CB71" t="s">
        <v>212</v>
      </c>
      <c r="CC71" t="s">
        <v>204</v>
      </c>
      <c r="CD71" t="s">
        <v>182</v>
      </c>
      <c r="CG71" t="s">
        <v>556</v>
      </c>
      <c r="CH71" t="s">
        <v>216</v>
      </c>
      <c r="CI71" t="s">
        <v>208</v>
      </c>
      <c r="CJ71" t="s">
        <v>512</v>
      </c>
      <c r="CK71" t="s">
        <v>217</v>
      </c>
      <c r="CL71" t="s">
        <v>206</v>
      </c>
      <c r="CM71" t="s">
        <v>533</v>
      </c>
      <c r="CN71" t="s">
        <v>177</v>
      </c>
      <c r="CO71" t="s">
        <v>208</v>
      </c>
      <c r="CP71" t="s">
        <v>512</v>
      </c>
      <c r="CQ71" t="s">
        <v>207</v>
      </c>
      <c r="CR71" t="s">
        <v>211</v>
      </c>
      <c r="CS71" t="s">
        <v>171</v>
      </c>
      <c r="CT71" t="s">
        <v>215</v>
      </c>
      <c r="CU71" t="s">
        <v>206</v>
      </c>
      <c r="CV71" t="s">
        <v>595</v>
      </c>
      <c r="CW71" t="s">
        <v>525</v>
      </c>
      <c r="CX71" t="s">
        <v>202</v>
      </c>
      <c r="CY71" t="s">
        <v>524</v>
      </c>
      <c r="CZ71" t="s">
        <v>177</v>
      </c>
      <c r="DA71" t="s">
        <v>650</v>
      </c>
      <c r="DB71" t="s">
        <v>580</v>
      </c>
      <c r="DC71" t="s">
        <v>215</v>
      </c>
      <c r="DD71" t="s">
        <v>263</v>
      </c>
      <c r="DE71" t="s">
        <v>501</v>
      </c>
      <c r="DF71" t="s">
        <v>525</v>
      </c>
      <c r="DG71" t="s">
        <v>190</v>
      </c>
      <c r="DH71" t="s">
        <v>170</v>
      </c>
      <c r="DI71" t="s">
        <v>207</v>
      </c>
      <c r="DJ71" t="s">
        <v>202</v>
      </c>
      <c r="DK71" t="s">
        <v>171</v>
      </c>
      <c r="DL71" t="s">
        <v>212</v>
      </c>
      <c r="DM71" t="s">
        <v>495</v>
      </c>
      <c r="DN71" t="s">
        <v>171</v>
      </c>
      <c r="DO71" t="s">
        <v>209</v>
      </c>
      <c r="DP71" t="s">
        <v>557</v>
      </c>
      <c r="DQ71" t="s">
        <v>171</v>
      </c>
      <c r="DR71" t="s">
        <v>604</v>
      </c>
      <c r="DS71" t="s">
        <v>604</v>
      </c>
      <c r="DT71" t="s">
        <v>604</v>
      </c>
      <c r="DU71" t="s">
        <v>604</v>
      </c>
      <c r="DV71" t="s">
        <v>604</v>
      </c>
      <c r="DW71" t="s">
        <v>604</v>
      </c>
      <c r="DX71" t="s">
        <v>604</v>
      </c>
      <c r="DY71" t="s">
        <v>604</v>
      </c>
      <c r="DZ71" t="s">
        <v>604</v>
      </c>
      <c r="EA71" t="s">
        <v>177</v>
      </c>
      <c r="EB71" t="s">
        <v>598</v>
      </c>
      <c r="EC71" t="s">
        <v>187</v>
      </c>
      <c r="ED71" t="s">
        <v>217</v>
      </c>
      <c r="EE71" t="s">
        <v>630</v>
      </c>
      <c r="EF71" t="s">
        <v>489</v>
      </c>
      <c r="EG71" t="s">
        <v>525</v>
      </c>
      <c r="EH71" t="s">
        <v>522</v>
      </c>
      <c r="EI71" t="s">
        <v>187</v>
      </c>
      <c r="EJ71" t="s">
        <v>201</v>
      </c>
      <c r="EK71" t="s">
        <v>721</v>
      </c>
      <c r="EL71" t="s">
        <v>182</v>
      </c>
      <c r="EM71" t="s">
        <v>210</v>
      </c>
      <c r="EN71" t="s">
        <v>198</v>
      </c>
      <c r="EO71" t="s">
        <v>182</v>
      </c>
      <c r="EP71" t="s">
        <v>215</v>
      </c>
      <c r="EQ71" t="s">
        <v>198</v>
      </c>
      <c r="ER71" t="s">
        <v>182</v>
      </c>
      <c r="ES71" t="s">
        <v>629</v>
      </c>
      <c r="ET71" t="s">
        <v>301</v>
      </c>
      <c r="EU71" t="s">
        <v>593</v>
      </c>
      <c r="EV71" t="s">
        <v>935</v>
      </c>
      <c r="EW71" t="s">
        <v>829</v>
      </c>
      <c r="EX71" t="s">
        <v>187</v>
      </c>
      <c r="EY71">
        <v>100</v>
      </c>
      <c r="EZ71">
        <v>50</v>
      </c>
      <c r="FA71" t="s">
        <v>195</v>
      </c>
      <c r="FB71" t="s">
        <v>1243</v>
      </c>
      <c r="FC71" t="s">
        <v>1244</v>
      </c>
      <c r="FD71" t="s">
        <v>212</v>
      </c>
      <c r="FE71">
        <v>100</v>
      </c>
      <c r="FF71">
        <v>80</v>
      </c>
      <c r="FG71" t="s">
        <v>523</v>
      </c>
      <c r="FH71" t="s">
        <v>1245</v>
      </c>
    </row>
    <row r="72" spans="1:164" x14ac:dyDescent="0.25">
      <c r="A72">
        <v>4</v>
      </c>
      <c r="B72" t="s">
        <v>164</v>
      </c>
      <c r="C72">
        <v>46</v>
      </c>
      <c r="D72">
        <v>4601</v>
      </c>
      <c r="E72">
        <v>974738546</v>
      </c>
      <c r="F72" t="s">
        <v>165</v>
      </c>
      <c r="G72" t="s">
        <v>166</v>
      </c>
      <c r="H72" t="s">
        <v>167</v>
      </c>
      <c r="I72" t="s">
        <v>1246</v>
      </c>
      <c r="J72" t="e">
        <f>TRIM(#REF!)</f>
        <v>#REF!</v>
      </c>
      <c r="K72" t="e">
        <f>#REF!&amp;#REF!&amp;#REF!</f>
        <v>#REF!</v>
      </c>
      <c r="L72" t="str">
        <f>IFERROR(VLOOKUP(#REF!,工作表1!E:I,2,FALSE),"")</f>
        <v/>
      </c>
      <c r="M72" t="str">
        <f>IFERROR(VLOOKUP(#REF!,工作表1!E:I,3,FALSE),"")</f>
        <v/>
      </c>
      <c r="N72" t="str">
        <f>IFERROR(VLOOKUP(#REF!,工作表1!E:I,4,FALSE),"")</f>
        <v/>
      </c>
      <c r="O72" t="str">
        <f>IFERROR(VLOOKUP(#REF!,工作表1!E:I,5,FALSE),"")</f>
        <v/>
      </c>
      <c r="P72" t="s">
        <v>175</v>
      </c>
      <c r="Q72" t="s">
        <v>655</v>
      </c>
      <c r="R72" t="s">
        <v>174</v>
      </c>
      <c r="T72" t="s">
        <v>1110</v>
      </c>
      <c r="U72" t="s">
        <v>505</v>
      </c>
      <c r="V72" t="s">
        <v>183</v>
      </c>
      <c r="X72" t="s">
        <v>1247</v>
      </c>
      <c r="Y72" t="s">
        <v>504</v>
      </c>
      <c r="Z72" t="s">
        <v>600</v>
      </c>
      <c r="AB72" t="s">
        <v>1248</v>
      </c>
      <c r="AC72" t="s">
        <v>504</v>
      </c>
      <c r="AD72" t="s">
        <v>525</v>
      </c>
      <c r="AF72" t="s">
        <v>1110</v>
      </c>
      <c r="AG72" t="s">
        <v>480</v>
      </c>
      <c r="AH72" t="s">
        <v>212</v>
      </c>
      <c r="AJ72" t="s">
        <v>182</v>
      </c>
      <c r="AK72" t="s">
        <v>513</v>
      </c>
      <c r="AL72" t="s">
        <v>656</v>
      </c>
      <c r="AM72" t="s">
        <v>211</v>
      </c>
      <c r="AN72" t="s">
        <v>512</v>
      </c>
      <c r="AO72" t="s">
        <v>914</v>
      </c>
      <c r="AP72" t="s">
        <v>656</v>
      </c>
      <c r="AQ72" t="s">
        <v>202</v>
      </c>
      <c r="AR72" t="s">
        <v>519</v>
      </c>
      <c r="AS72" t="s">
        <v>782</v>
      </c>
      <c r="AT72" t="s">
        <v>808</v>
      </c>
      <c r="AU72" t="s">
        <v>202</v>
      </c>
      <c r="AV72" t="s">
        <v>176</v>
      </c>
      <c r="AW72" t="s">
        <v>794</v>
      </c>
      <c r="AX72" t="s">
        <v>904</v>
      </c>
      <c r="AY72" t="s">
        <v>598</v>
      </c>
      <c r="AZ72" t="s">
        <v>519</v>
      </c>
      <c r="BA72" t="s">
        <v>200</v>
      </c>
      <c r="BB72" t="s">
        <v>1249</v>
      </c>
      <c r="BC72" t="s">
        <v>266</v>
      </c>
      <c r="BD72">
        <v>1507</v>
      </c>
      <c r="BE72">
        <v>1565</v>
      </c>
      <c r="BF72">
        <v>1578</v>
      </c>
      <c r="BG72">
        <v>1485</v>
      </c>
      <c r="BH72">
        <v>1699</v>
      </c>
      <c r="BY72" t="s">
        <v>216</v>
      </c>
      <c r="BZ72" t="s">
        <v>198</v>
      </c>
      <c r="CA72" t="s">
        <v>179</v>
      </c>
      <c r="CB72" t="s">
        <v>216</v>
      </c>
      <c r="CC72" t="s">
        <v>206</v>
      </c>
      <c r="CD72" t="s">
        <v>179</v>
      </c>
      <c r="CE72" t="s">
        <v>216</v>
      </c>
      <c r="CF72" t="s">
        <v>204</v>
      </c>
      <c r="CG72" t="s">
        <v>179</v>
      </c>
      <c r="CH72" t="s">
        <v>177</v>
      </c>
      <c r="CI72" t="s">
        <v>206</v>
      </c>
      <c r="CJ72" t="s">
        <v>524</v>
      </c>
      <c r="CK72" t="s">
        <v>210</v>
      </c>
      <c r="CL72" t="s">
        <v>213</v>
      </c>
      <c r="CM72" t="s">
        <v>209</v>
      </c>
      <c r="CN72" t="s">
        <v>209</v>
      </c>
      <c r="CO72" t="s">
        <v>202</v>
      </c>
      <c r="CP72" t="s">
        <v>525</v>
      </c>
      <c r="CQ72" t="s">
        <v>281</v>
      </c>
      <c r="CR72" t="s">
        <v>204</v>
      </c>
      <c r="CS72" t="s">
        <v>215</v>
      </c>
      <c r="CT72" t="s">
        <v>210</v>
      </c>
      <c r="CU72" t="s">
        <v>495</v>
      </c>
      <c r="CV72" t="s">
        <v>210</v>
      </c>
      <c r="CW72" t="s">
        <v>216</v>
      </c>
      <c r="CX72" t="s">
        <v>486</v>
      </c>
      <c r="CY72" t="s">
        <v>210</v>
      </c>
      <c r="CZ72" t="s">
        <v>217</v>
      </c>
      <c r="DA72" t="s">
        <v>204</v>
      </c>
      <c r="DB72" t="s">
        <v>203</v>
      </c>
      <c r="DC72" t="s">
        <v>217</v>
      </c>
      <c r="DD72" t="s">
        <v>495</v>
      </c>
      <c r="DE72" t="s">
        <v>588</v>
      </c>
      <c r="DF72" t="s">
        <v>216</v>
      </c>
      <c r="DG72" t="s">
        <v>486</v>
      </c>
      <c r="DH72" t="s">
        <v>588</v>
      </c>
      <c r="FH72" t="s">
        <v>1250</v>
      </c>
    </row>
    <row r="73" spans="1:164" x14ac:dyDescent="0.25">
      <c r="A73">
        <v>4</v>
      </c>
      <c r="B73" t="s">
        <v>164</v>
      </c>
      <c r="C73">
        <v>46</v>
      </c>
      <c r="D73">
        <v>4601</v>
      </c>
      <c r="E73">
        <v>974738635</v>
      </c>
      <c r="F73" t="s">
        <v>165</v>
      </c>
      <c r="G73" t="s">
        <v>166</v>
      </c>
      <c r="H73" t="s">
        <v>167</v>
      </c>
      <c r="I73" t="s">
        <v>1251</v>
      </c>
      <c r="J73" t="e">
        <f>TRIM(#REF!)</f>
        <v>#REF!</v>
      </c>
      <c r="K73" t="e">
        <f>#REF!&amp;#REF!&amp;#REF!</f>
        <v>#REF!</v>
      </c>
      <c r="L73" t="str">
        <f>IFERROR(VLOOKUP(#REF!,工作表1!E:I,2,FALSE),"")</f>
        <v/>
      </c>
      <c r="M73" t="str">
        <f>IFERROR(VLOOKUP(#REF!,工作表1!E:I,3,FALSE),"")</f>
        <v/>
      </c>
      <c r="N73" t="str">
        <f>IFERROR(VLOOKUP(#REF!,工作表1!E:I,4,FALSE),"")</f>
        <v/>
      </c>
      <c r="O73" t="str">
        <f>IFERROR(VLOOKUP(#REF!,工作表1!E:I,5,FALSE),"")</f>
        <v/>
      </c>
      <c r="P73" t="s">
        <v>1252</v>
      </c>
      <c r="Q73" t="s">
        <v>195</v>
      </c>
      <c r="R73" t="s">
        <v>588</v>
      </c>
      <c r="T73" t="s">
        <v>1253</v>
      </c>
      <c r="U73" t="s">
        <v>195</v>
      </c>
      <c r="V73" t="s">
        <v>489</v>
      </c>
      <c r="X73" t="s">
        <v>1254</v>
      </c>
      <c r="Y73" t="s">
        <v>187</v>
      </c>
      <c r="Z73" t="s">
        <v>180</v>
      </c>
      <c r="AB73" t="s">
        <v>1255</v>
      </c>
      <c r="AC73" t="s">
        <v>182</v>
      </c>
      <c r="AD73" t="s">
        <v>582</v>
      </c>
      <c r="AF73" t="s">
        <v>869</v>
      </c>
      <c r="AG73" t="s">
        <v>612</v>
      </c>
      <c r="AH73" t="s">
        <v>216</v>
      </c>
      <c r="AJ73" t="s">
        <v>728</v>
      </c>
      <c r="AK73" t="s">
        <v>1256</v>
      </c>
      <c r="AL73" t="s">
        <v>1257</v>
      </c>
      <c r="AM73" t="s">
        <v>206</v>
      </c>
      <c r="AN73" t="s">
        <v>600</v>
      </c>
      <c r="AO73" t="s">
        <v>1258</v>
      </c>
      <c r="AP73" t="s">
        <v>826</v>
      </c>
      <c r="AQ73" t="s">
        <v>721</v>
      </c>
      <c r="AR73" t="s">
        <v>183</v>
      </c>
      <c r="AS73" t="s">
        <v>1259</v>
      </c>
      <c r="AT73" t="s">
        <v>878</v>
      </c>
      <c r="AU73" t="s">
        <v>633</v>
      </c>
      <c r="AV73" t="s">
        <v>201</v>
      </c>
      <c r="AW73" t="s">
        <v>1260</v>
      </c>
      <c r="AX73" t="s">
        <v>854</v>
      </c>
      <c r="AY73" t="s">
        <v>389</v>
      </c>
      <c r="AZ73" t="s">
        <v>600</v>
      </c>
      <c r="BA73" t="s">
        <v>1261</v>
      </c>
      <c r="BB73" t="s">
        <v>1262</v>
      </c>
      <c r="BC73" t="s">
        <v>389</v>
      </c>
      <c r="BD73">
        <v>1809</v>
      </c>
      <c r="BE73">
        <v>1775</v>
      </c>
      <c r="BF73">
        <v>1808</v>
      </c>
      <c r="BG73">
        <v>1812</v>
      </c>
      <c r="BH73">
        <v>1796</v>
      </c>
      <c r="BI73" t="s">
        <v>349</v>
      </c>
      <c r="BJ73" t="s">
        <v>350</v>
      </c>
      <c r="BK73" t="s">
        <v>263</v>
      </c>
      <c r="BL73" t="s">
        <v>182</v>
      </c>
      <c r="BM73" t="s">
        <v>550</v>
      </c>
      <c r="BN73" t="s">
        <v>474</v>
      </c>
      <c r="BO73" t="s">
        <v>633</v>
      </c>
      <c r="BP73" t="s">
        <v>612</v>
      </c>
      <c r="BQ73" t="s">
        <v>186</v>
      </c>
      <c r="BR73" t="s">
        <v>474</v>
      </c>
      <c r="BS73" t="s">
        <v>1263</v>
      </c>
      <c r="BT73" t="s">
        <v>967</v>
      </c>
      <c r="BU73" t="s">
        <v>1024</v>
      </c>
      <c r="BV73" t="s">
        <v>818</v>
      </c>
      <c r="BW73" t="s">
        <v>1092</v>
      </c>
      <c r="BX73" t="s">
        <v>692</v>
      </c>
      <c r="BY73" t="s">
        <v>177</v>
      </c>
      <c r="BZ73" t="s">
        <v>202</v>
      </c>
      <c r="CA73" t="s">
        <v>177</v>
      </c>
      <c r="CB73" t="s">
        <v>216</v>
      </c>
      <c r="CC73" t="s">
        <v>566</v>
      </c>
      <c r="CD73" t="s">
        <v>174</v>
      </c>
      <c r="CE73" t="s">
        <v>216</v>
      </c>
      <c r="CF73" t="s">
        <v>214</v>
      </c>
      <c r="CG73" t="s">
        <v>281</v>
      </c>
      <c r="CH73" t="s">
        <v>174</v>
      </c>
      <c r="CI73" t="s">
        <v>211</v>
      </c>
      <c r="CJ73" t="s">
        <v>523</v>
      </c>
      <c r="CK73" t="s">
        <v>207</v>
      </c>
      <c r="CL73" t="s">
        <v>204</v>
      </c>
      <c r="CM73" t="s">
        <v>524</v>
      </c>
      <c r="CN73" t="s">
        <v>281</v>
      </c>
      <c r="CO73" t="s">
        <v>494</v>
      </c>
      <c r="CP73" t="s">
        <v>523</v>
      </c>
      <c r="CQ73" t="s">
        <v>216</v>
      </c>
      <c r="CR73" t="s">
        <v>213</v>
      </c>
      <c r="CS73" t="s">
        <v>212</v>
      </c>
      <c r="CT73" t="s">
        <v>217</v>
      </c>
      <c r="CU73" t="s">
        <v>213</v>
      </c>
      <c r="CV73" t="s">
        <v>212</v>
      </c>
      <c r="CW73" t="s">
        <v>217</v>
      </c>
      <c r="CX73" t="s">
        <v>202</v>
      </c>
      <c r="CY73" t="s">
        <v>212</v>
      </c>
      <c r="CZ73" t="s">
        <v>281</v>
      </c>
      <c r="DA73" t="s">
        <v>495</v>
      </c>
      <c r="DB73" t="s">
        <v>183</v>
      </c>
      <c r="DC73" t="s">
        <v>216</v>
      </c>
      <c r="DD73" t="s">
        <v>301</v>
      </c>
      <c r="DE73" t="s">
        <v>183</v>
      </c>
      <c r="DF73" t="s">
        <v>177</v>
      </c>
      <c r="DG73" t="s">
        <v>204</v>
      </c>
      <c r="DH73" t="s">
        <v>183</v>
      </c>
      <c r="DI73" t="s">
        <v>177</v>
      </c>
      <c r="DJ73" t="s">
        <v>1064</v>
      </c>
      <c r="DK73" t="s">
        <v>474</v>
      </c>
      <c r="DL73" t="s">
        <v>207</v>
      </c>
      <c r="DM73" t="s">
        <v>204</v>
      </c>
      <c r="DN73" t="s">
        <v>523</v>
      </c>
      <c r="DO73" t="s">
        <v>216</v>
      </c>
      <c r="DP73" t="s">
        <v>633</v>
      </c>
      <c r="DQ73" t="s">
        <v>533</v>
      </c>
      <c r="DR73" t="s">
        <v>174</v>
      </c>
      <c r="DS73" t="s">
        <v>560</v>
      </c>
      <c r="DT73" t="s">
        <v>722</v>
      </c>
      <c r="DU73" t="s">
        <v>207</v>
      </c>
      <c r="DV73" t="s">
        <v>566</v>
      </c>
      <c r="DW73" t="s">
        <v>722</v>
      </c>
      <c r="DX73" t="s">
        <v>207</v>
      </c>
      <c r="DY73" t="s">
        <v>669</v>
      </c>
      <c r="DZ73" t="s">
        <v>730</v>
      </c>
      <c r="EA73" t="s">
        <v>207</v>
      </c>
      <c r="EB73" t="s">
        <v>301</v>
      </c>
      <c r="EC73" t="s">
        <v>402</v>
      </c>
      <c r="ED73" t="s">
        <v>177</v>
      </c>
      <c r="EE73" t="s">
        <v>566</v>
      </c>
      <c r="EF73" t="s">
        <v>395</v>
      </c>
      <c r="EG73" t="s">
        <v>210</v>
      </c>
      <c r="EH73" t="s">
        <v>669</v>
      </c>
      <c r="EI73" t="s">
        <v>395</v>
      </c>
      <c r="EJ73" t="s">
        <v>207</v>
      </c>
      <c r="EK73" t="s">
        <v>495</v>
      </c>
      <c r="EL73" t="s">
        <v>692</v>
      </c>
      <c r="EM73" t="s">
        <v>210</v>
      </c>
      <c r="EN73" t="s">
        <v>644</v>
      </c>
      <c r="EO73" t="s">
        <v>1043</v>
      </c>
      <c r="EP73" t="s">
        <v>216</v>
      </c>
      <c r="EQ73" t="s">
        <v>213</v>
      </c>
      <c r="ER73" t="s">
        <v>692</v>
      </c>
      <c r="ES73" t="s">
        <v>731</v>
      </c>
      <c r="ET73" t="s">
        <v>731</v>
      </c>
      <c r="EU73" t="s">
        <v>567</v>
      </c>
      <c r="EV73" t="s">
        <v>301</v>
      </c>
      <c r="EW73" t="s">
        <v>190</v>
      </c>
      <c r="EX73" t="s">
        <v>684</v>
      </c>
      <c r="EY73">
        <v>100</v>
      </c>
      <c r="EZ73">
        <v>60</v>
      </c>
      <c r="FA73" t="s">
        <v>1139</v>
      </c>
      <c r="FB73" t="s">
        <v>468</v>
      </c>
      <c r="FC73" t="s">
        <v>389</v>
      </c>
      <c r="FD73" t="s">
        <v>819</v>
      </c>
      <c r="FE73">
        <v>90</v>
      </c>
      <c r="FF73">
        <v>50</v>
      </c>
      <c r="FG73" t="s">
        <v>682</v>
      </c>
      <c r="FH73" t="s">
        <v>1264</v>
      </c>
    </row>
    <row r="74" spans="1:164" x14ac:dyDescent="0.25">
      <c r="A74">
        <v>4</v>
      </c>
      <c r="B74" t="s">
        <v>164</v>
      </c>
      <c r="C74">
        <v>46</v>
      </c>
      <c r="D74">
        <v>4601</v>
      </c>
      <c r="E74">
        <v>974738635</v>
      </c>
      <c r="F74" t="s">
        <v>165</v>
      </c>
      <c r="G74" t="s">
        <v>166</v>
      </c>
      <c r="H74" t="s">
        <v>167</v>
      </c>
      <c r="I74" t="s">
        <v>1251</v>
      </c>
      <c r="J74" t="e">
        <f>TRIM(#REF!)</f>
        <v>#REF!</v>
      </c>
      <c r="K74" t="e">
        <f>#REF!&amp;#REF!&amp;#REF!</f>
        <v>#REF!</v>
      </c>
      <c r="L74" t="str">
        <f>IFERROR(VLOOKUP(#REF!,工作表1!E:I,2,FALSE),"")</f>
        <v/>
      </c>
      <c r="M74" t="str">
        <f>IFERROR(VLOOKUP(#REF!,工作表1!E:I,3,FALSE),"")</f>
        <v/>
      </c>
      <c r="N74" t="str">
        <f>IFERROR(VLOOKUP(#REF!,工作表1!E:I,4,FALSE),"")</f>
        <v/>
      </c>
      <c r="O74" t="str">
        <f>IFERROR(VLOOKUP(#REF!,工作表1!E:I,5,FALSE),"")</f>
        <v/>
      </c>
      <c r="P74" t="s">
        <v>1252</v>
      </c>
      <c r="Q74" t="s">
        <v>195</v>
      </c>
      <c r="R74" t="s">
        <v>588</v>
      </c>
      <c r="T74" t="s">
        <v>1253</v>
      </c>
      <c r="U74" t="s">
        <v>195</v>
      </c>
      <c r="V74" t="s">
        <v>489</v>
      </c>
      <c r="X74" t="s">
        <v>1254</v>
      </c>
      <c r="Y74" t="s">
        <v>187</v>
      </c>
      <c r="Z74" t="s">
        <v>180</v>
      </c>
      <c r="AB74" t="s">
        <v>1255</v>
      </c>
      <c r="AC74" t="s">
        <v>182</v>
      </c>
      <c r="AD74" t="s">
        <v>582</v>
      </c>
      <c r="AF74" t="s">
        <v>869</v>
      </c>
      <c r="AG74" t="s">
        <v>612</v>
      </c>
      <c r="AH74" t="s">
        <v>216</v>
      </c>
      <c r="AJ74" t="s">
        <v>728</v>
      </c>
      <c r="AK74" t="s">
        <v>1256</v>
      </c>
      <c r="AL74" t="s">
        <v>1257</v>
      </c>
      <c r="AM74" t="s">
        <v>206</v>
      </c>
      <c r="AN74" t="s">
        <v>600</v>
      </c>
      <c r="AO74" t="s">
        <v>1258</v>
      </c>
      <c r="AP74" t="s">
        <v>826</v>
      </c>
      <c r="AQ74" t="s">
        <v>721</v>
      </c>
      <c r="AR74" t="s">
        <v>183</v>
      </c>
      <c r="AS74" t="s">
        <v>1259</v>
      </c>
      <c r="AT74" t="s">
        <v>878</v>
      </c>
      <c r="AU74" t="s">
        <v>633</v>
      </c>
      <c r="AV74" t="s">
        <v>201</v>
      </c>
      <c r="AW74" t="s">
        <v>1260</v>
      </c>
      <c r="AX74" t="s">
        <v>854</v>
      </c>
      <c r="AY74" t="s">
        <v>389</v>
      </c>
      <c r="AZ74" t="s">
        <v>600</v>
      </c>
      <c r="BA74" t="s">
        <v>1261</v>
      </c>
      <c r="BB74" t="s">
        <v>1262</v>
      </c>
      <c r="BC74" t="s">
        <v>389</v>
      </c>
      <c r="BD74">
        <v>1809</v>
      </c>
      <c r="BE74">
        <v>1775</v>
      </c>
      <c r="BF74">
        <v>1808</v>
      </c>
      <c r="BG74">
        <v>1812</v>
      </c>
      <c r="BH74">
        <v>1796</v>
      </c>
      <c r="BI74" t="s">
        <v>261</v>
      </c>
      <c r="BJ74" t="s">
        <v>262</v>
      </c>
      <c r="BK74" t="s">
        <v>263</v>
      </c>
      <c r="BL74" t="s">
        <v>682</v>
      </c>
      <c r="BM74" t="s">
        <v>550</v>
      </c>
      <c r="BN74" t="s">
        <v>967</v>
      </c>
      <c r="BO74" t="s">
        <v>633</v>
      </c>
      <c r="BP74" t="s">
        <v>676</v>
      </c>
      <c r="BQ74" t="s">
        <v>263</v>
      </c>
      <c r="BR74" t="s">
        <v>834</v>
      </c>
      <c r="BS74" t="s">
        <v>1263</v>
      </c>
      <c r="BT74" t="s">
        <v>967</v>
      </c>
      <c r="BU74" t="s">
        <v>1024</v>
      </c>
      <c r="BV74" t="s">
        <v>818</v>
      </c>
      <c r="BW74" t="s">
        <v>1092</v>
      </c>
      <c r="BX74" t="s">
        <v>692</v>
      </c>
      <c r="BY74" t="s">
        <v>177</v>
      </c>
      <c r="BZ74" t="s">
        <v>202</v>
      </c>
      <c r="CA74" t="s">
        <v>177</v>
      </c>
      <c r="CB74" t="s">
        <v>216</v>
      </c>
      <c r="CC74" t="s">
        <v>566</v>
      </c>
      <c r="CD74" t="s">
        <v>174</v>
      </c>
      <c r="CE74" t="s">
        <v>216</v>
      </c>
      <c r="CF74" t="s">
        <v>214</v>
      </c>
      <c r="CG74" t="s">
        <v>281</v>
      </c>
      <c r="CH74" t="s">
        <v>174</v>
      </c>
      <c r="CI74" t="s">
        <v>211</v>
      </c>
      <c r="CJ74" t="s">
        <v>523</v>
      </c>
      <c r="CK74" t="s">
        <v>207</v>
      </c>
      <c r="CL74" t="s">
        <v>204</v>
      </c>
      <c r="CM74" t="s">
        <v>524</v>
      </c>
      <c r="CN74" t="s">
        <v>281</v>
      </c>
      <c r="CO74" t="s">
        <v>494</v>
      </c>
      <c r="CP74" t="s">
        <v>523</v>
      </c>
      <c r="CQ74" t="s">
        <v>216</v>
      </c>
      <c r="CR74" t="s">
        <v>213</v>
      </c>
      <c r="CS74" t="s">
        <v>212</v>
      </c>
      <c r="CT74" t="s">
        <v>217</v>
      </c>
      <c r="CU74" t="s">
        <v>213</v>
      </c>
      <c r="CV74" t="s">
        <v>212</v>
      </c>
      <c r="CW74" t="s">
        <v>217</v>
      </c>
      <c r="CX74" t="s">
        <v>202</v>
      </c>
      <c r="CY74" t="s">
        <v>212</v>
      </c>
      <c r="CZ74" t="s">
        <v>281</v>
      </c>
      <c r="DA74" t="s">
        <v>495</v>
      </c>
      <c r="DB74" t="s">
        <v>183</v>
      </c>
      <c r="DC74" t="s">
        <v>216</v>
      </c>
      <c r="DD74" t="s">
        <v>301</v>
      </c>
      <c r="DE74" t="s">
        <v>183</v>
      </c>
      <c r="DF74" t="s">
        <v>177</v>
      </c>
      <c r="DG74" t="s">
        <v>204</v>
      </c>
      <c r="DH74" t="s">
        <v>183</v>
      </c>
      <c r="DI74" t="s">
        <v>177</v>
      </c>
      <c r="DJ74" t="s">
        <v>1064</v>
      </c>
      <c r="DK74" t="s">
        <v>474</v>
      </c>
      <c r="DL74" t="s">
        <v>207</v>
      </c>
      <c r="DM74" t="s">
        <v>204</v>
      </c>
      <c r="DN74" t="s">
        <v>523</v>
      </c>
      <c r="DO74" t="s">
        <v>216</v>
      </c>
      <c r="DP74" t="s">
        <v>633</v>
      </c>
      <c r="DQ74" t="s">
        <v>533</v>
      </c>
      <c r="DR74" t="s">
        <v>174</v>
      </c>
      <c r="DS74" t="s">
        <v>560</v>
      </c>
      <c r="DT74" t="s">
        <v>722</v>
      </c>
      <c r="DU74" t="s">
        <v>207</v>
      </c>
      <c r="DV74" t="s">
        <v>566</v>
      </c>
      <c r="DW74" t="s">
        <v>722</v>
      </c>
      <c r="DX74" t="s">
        <v>207</v>
      </c>
      <c r="DY74" t="s">
        <v>669</v>
      </c>
      <c r="DZ74" t="s">
        <v>730</v>
      </c>
      <c r="EA74" t="s">
        <v>207</v>
      </c>
      <c r="EB74" t="s">
        <v>301</v>
      </c>
      <c r="EC74" t="s">
        <v>402</v>
      </c>
      <c r="ED74" t="s">
        <v>177</v>
      </c>
      <c r="EE74" t="s">
        <v>566</v>
      </c>
      <c r="EF74" t="s">
        <v>395</v>
      </c>
      <c r="EG74" t="s">
        <v>210</v>
      </c>
      <c r="EH74" t="s">
        <v>669</v>
      </c>
      <c r="EI74" t="s">
        <v>395</v>
      </c>
      <c r="EJ74" t="s">
        <v>207</v>
      </c>
      <c r="EK74" t="s">
        <v>495</v>
      </c>
      <c r="EL74" t="s">
        <v>692</v>
      </c>
      <c r="EM74" t="s">
        <v>210</v>
      </c>
      <c r="EN74" t="s">
        <v>644</v>
      </c>
      <c r="EO74" t="s">
        <v>1043</v>
      </c>
      <c r="EP74" t="s">
        <v>216</v>
      </c>
      <c r="EQ74" t="s">
        <v>213</v>
      </c>
      <c r="ER74" t="s">
        <v>692</v>
      </c>
      <c r="ES74" t="s">
        <v>731</v>
      </c>
      <c r="ET74" t="s">
        <v>731</v>
      </c>
      <c r="EU74" t="s">
        <v>567</v>
      </c>
      <c r="EV74" t="s">
        <v>301</v>
      </c>
      <c r="EW74" t="s">
        <v>190</v>
      </c>
      <c r="EX74" t="s">
        <v>684</v>
      </c>
      <c r="EY74">
        <v>100</v>
      </c>
      <c r="EZ74">
        <v>60</v>
      </c>
      <c r="FA74" t="s">
        <v>1139</v>
      </c>
      <c r="FB74" t="s">
        <v>468</v>
      </c>
      <c r="FC74" t="s">
        <v>389</v>
      </c>
      <c r="FD74" t="s">
        <v>819</v>
      </c>
      <c r="FE74">
        <v>90</v>
      </c>
      <c r="FF74">
        <v>50</v>
      </c>
      <c r="FG74" t="s">
        <v>682</v>
      </c>
      <c r="FH74" t="s">
        <v>1264</v>
      </c>
    </row>
    <row r="75" spans="1:164" x14ac:dyDescent="0.25">
      <c r="A75">
        <v>4</v>
      </c>
      <c r="B75" t="s">
        <v>164</v>
      </c>
      <c r="C75">
        <v>46</v>
      </c>
      <c r="D75">
        <v>4601</v>
      </c>
      <c r="E75">
        <v>974738414</v>
      </c>
      <c r="F75" t="s">
        <v>165</v>
      </c>
      <c r="G75" t="s">
        <v>166</v>
      </c>
      <c r="H75" t="s">
        <v>167</v>
      </c>
      <c r="I75" t="s">
        <v>1265</v>
      </c>
      <c r="J75" t="e">
        <f>TRIM(#REF!)</f>
        <v>#REF!</v>
      </c>
      <c r="K75" t="e">
        <f>#REF!&amp;#REF!&amp;#REF!</f>
        <v>#REF!</v>
      </c>
      <c r="L75" t="str">
        <f>IFERROR(VLOOKUP(#REF!,工作表1!E:I,2,FALSE),"")</f>
        <v/>
      </c>
      <c r="M75" t="str">
        <f>IFERROR(VLOOKUP(#REF!,工作表1!E:I,3,FALSE),"")</f>
        <v/>
      </c>
      <c r="N75" t="str">
        <f>IFERROR(VLOOKUP(#REF!,工作表1!E:I,4,FALSE),"")</f>
        <v/>
      </c>
      <c r="O75" t="str">
        <f>IFERROR(VLOOKUP(#REF!,工作表1!E:I,5,FALSE),"")</f>
        <v/>
      </c>
      <c r="P75" t="s">
        <v>1237</v>
      </c>
      <c r="Q75" t="s">
        <v>519</v>
      </c>
      <c r="R75" t="s">
        <v>604</v>
      </c>
      <c r="T75" t="s">
        <v>1086</v>
      </c>
      <c r="U75" t="s">
        <v>533</v>
      </c>
      <c r="V75" t="s">
        <v>732</v>
      </c>
      <c r="X75" t="s">
        <v>1266</v>
      </c>
      <c r="Y75" t="s">
        <v>612</v>
      </c>
      <c r="Z75" t="s">
        <v>834</v>
      </c>
      <c r="AB75" t="s">
        <v>587</v>
      </c>
      <c r="AC75" t="s">
        <v>512</v>
      </c>
      <c r="AD75" t="s">
        <v>604</v>
      </c>
      <c r="AF75" t="s">
        <v>1267</v>
      </c>
      <c r="AG75" t="s">
        <v>195</v>
      </c>
      <c r="AH75" t="s">
        <v>604</v>
      </c>
      <c r="AJ75" t="s">
        <v>209</v>
      </c>
      <c r="AK75" t="s">
        <v>1268</v>
      </c>
      <c r="AL75" t="s">
        <v>1082</v>
      </c>
      <c r="AM75" t="s">
        <v>389</v>
      </c>
      <c r="AN75" t="s">
        <v>582</v>
      </c>
      <c r="AO75" t="s">
        <v>1269</v>
      </c>
      <c r="AP75" t="s">
        <v>535</v>
      </c>
      <c r="AQ75" t="s">
        <v>571</v>
      </c>
      <c r="AR75" t="s">
        <v>174</v>
      </c>
      <c r="AS75" t="s">
        <v>1270</v>
      </c>
      <c r="AT75" t="s">
        <v>846</v>
      </c>
      <c r="AU75" t="s">
        <v>1091</v>
      </c>
      <c r="AV75" t="s">
        <v>523</v>
      </c>
      <c r="AW75" t="s">
        <v>964</v>
      </c>
      <c r="AX75" t="s">
        <v>1156</v>
      </c>
      <c r="AY75" t="s">
        <v>389</v>
      </c>
      <c r="AZ75" t="s">
        <v>523</v>
      </c>
      <c r="BA75" t="s">
        <v>1042</v>
      </c>
      <c r="BB75" t="s">
        <v>1271</v>
      </c>
      <c r="BC75" t="s">
        <v>950</v>
      </c>
      <c r="BD75">
        <v>1812</v>
      </c>
      <c r="BE75">
        <v>2065</v>
      </c>
      <c r="BF75">
        <v>2076</v>
      </c>
      <c r="BG75">
        <v>1901</v>
      </c>
      <c r="BH75">
        <v>1924</v>
      </c>
      <c r="BI75" t="s">
        <v>261</v>
      </c>
      <c r="BJ75" t="s">
        <v>262</v>
      </c>
      <c r="BK75" t="s">
        <v>550</v>
      </c>
      <c r="BL75" t="s">
        <v>975</v>
      </c>
      <c r="BM75" t="s">
        <v>263</v>
      </c>
      <c r="BN75" t="s">
        <v>563</v>
      </c>
      <c r="BO75" t="s">
        <v>266</v>
      </c>
      <c r="BP75" t="s">
        <v>952</v>
      </c>
      <c r="BQ75" t="s">
        <v>550</v>
      </c>
      <c r="BR75" t="s">
        <v>554</v>
      </c>
      <c r="BS75" t="s">
        <v>823</v>
      </c>
      <c r="BT75" t="s">
        <v>563</v>
      </c>
      <c r="BU75" t="s">
        <v>677</v>
      </c>
      <c r="BV75" t="s">
        <v>954</v>
      </c>
      <c r="BW75" t="s">
        <v>677</v>
      </c>
      <c r="BX75" t="s">
        <v>858</v>
      </c>
      <c r="DI75" t="s">
        <v>201</v>
      </c>
      <c r="DJ75" t="s">
        <v>213</v>
      </c>
      <c r="DK75" t="s">
        <v>183</v>
      </c>
      <c r="DL75" t="s">
        <v>201</v>
      </c>
      <c r="DM75" t="s">
        <v>644</v>
      </c>
      <c r="DN75" t="s">
        <v>692</v>
      </c>
      <c r="DQ75" t="s">
        <v>556</v>
      </c>
      <c r="DR75" t="s">
        <v>207</v>
      </c>
      <c r="DS75" t="s">
        <v>560</v>
      </c>
      <c r="DT75" t="s">
        <v>559</v>
      </c>
      <c r="DU75" t="s">
        <v>177</v>
      </c>
      <c r="DV75" t="s">
        <v>669</v>
      </c>
      <c r="DW75" t="s">
        <v>565</v>
      </c>
      <c r="DX75" t="s">
        <v>216</v>
      </c>
      <c r="DY75" t="s">
        <v>560</v>
      </c>
      <c r="DZ75" t="s">
        <v>565</v>
      </c>
      <c r="EA75" t="s">
        <v>174</v>
      </c>
      <c r="EB75" t="s">
        <v>560</v>
      </c>
      <c r="EC75" t="s">
        <v>554</v>
      </c>
      <c r="ED75" t="s">
        <v>207</v>
      </c>
      <c r="EE75" t="s">
        <v>560</v>
      </c>
      <c r="EF75" t="s">
        <v>858</v>
      </c>
      <c r="EG75" t="s">
        <v>177</v>
      </c>
      <c r="EH75" t="s">
        <v>558</v>
      </c>
      <c r="EI75" t="s">
        <v>858</v>
      </c>
      <c r="EJ75" t="s">
        <v>201</v>
      </c>
      <c r="EK75" t="s">
        <v>562</v>
      </c>
      <c r="EL75" t="s">
        <v>970</v>
      </c>
      <c r="EM75" t="s">
        <v>207</v>
      </c>
      <c r="EN75" t="s">
        <v>564</v>
      </c>
      <c r="EO75" t="s">
        <v>970</v>
      </c>
      <c r="EP75" t="s">
        <v>207</v>
      </c>
      <c r="EQ75" t="s">
        <v>558</v>
      </c>
      <c r="ER75" t="s">
        <v>968</v>
      </c>
      <c r="ES75" t="s">
        <v>301</v>
      </c>
      <c r="ET75" t="s">
        <v>623</v>
      </c>
      <c r="EU75" t="s">
        <v>559</v>
      </c>
      <c r="EV75" t="s">
        <v>301</v>
      </c>
      <c r="EW75" t="s">
        <v>186</v>
      </c>
      <c r="EX75" t="s">
        <v>969</v>
      </c>
      <c r="EY75">
        <v>100</v>
      </c>
      <c r="EZ75">
        <v>70</v>
      </c>
      <c r="FA75" t="s">
        <v>1003</v>
      </c>
      <c r="FB75" t="s">
        <v>306</v>
      </c>
      <c r="FC75" t="s">
        <v>623</v>
      </c>
      <c r="FD75" t="s">
        <v>860</v>
      </c>
      <c r="FE75">
        <v>100</v>
      </c>
      <c r="FF75">
        <v>65</v>
      </c>
      <c r="FG75" t="s">
        <v>1003</v>
      </c>
      <c r="FH75" t="s">
        <v>1272</v>
      </c>
    </row>
    <row r="76" spans="1:164" x14ac:dyDescent="0.25">
      <c r="A76">
        <v>4</v>
      </c>
      <c r="B76" t="s">
        <v>164</v>
      </c>
      <c r="C76">
        <v>46</v>
      </c>
      <c r="D76">
        <v>4601</v>
      </c>
      <c r="E76">
        <v>974738317</v>
      </c>
      <c r="F76" t="s">
        <v>165</v>
      </c>
      <c r="G76" t="s">
        <v>166</v>
      </c>
      <c r="H76" t="s">
        <v>167</v>
      </c>
      <c r="I76" t="s">
        <v>1273</v>
      </c>
      <c r="J76" t="e">
        <f>TRIM(#REF!)</f>
        <v>#REF!</v>
      </c>
      <c r="K76" t="e">
        <f>#REF!&amp;#REF!&amp;#REF!</f>
        <v>#REF!</v>
      </c>
      <c r="L76" t="str">
        <f>IFERROR(VLOOKUP(#REF!,工作表1!E:I,2,FALSE),"")</f>
        <v/>
      </c>
      <c r="M76" t="str">
        <f>IFERROR(VLOOKUP(#REF!,工作表1!E:I,3,FALSE),"")</f>
        <v/>
      </c>
      <c r="N76" t="str">
        <f>IFERROR(VLOOKUP(#REF!,工作表1!E:I,4,FALSE),"")</f>
        <v/>
      </c>
      <c r="O76" t="str">
        <f>IFERROR(VLOOKUP(#REF!,工作表1!E:I,5,FALSE),"")</f>
        <v/>
      </c>
      <c r="P76" t="s">
        <v>1274</v>
      </c>
      <c r="Q76" t="s">
        <v>530</v>
      </c>
      <c r="R76" t="s">
        <v>588</v>
      </c>
      <c r="T76" t="s">
        <v>1275</v>
      </c>
      <c r="U76" t="s">
        <v>530</v>
      </c>
      <c r="V76" t="s">
        <v>171</v>
      </c>
      <c r="X76" t="s">
        <v>1276</v>
      </c>
      <c r="Y76" t="s">
        <v>505</v>
      </c>
      <c r="Z76" t="s">
        <v>588</v>
      </c>
      <c r="AB76" t="s">
        <v>1277</v>
      </c>
      <c r="AC76" t="s">
        <v>581</v>
      </c>
      <c r="AD76" t="s">
        <v>595</v>
      </c>
      <c r="AF76" t="s">
        <v>1266</v>
      </c>
      <c r="AG76" t="s">
        <v>501</v>
      </c>
      <c r="AH76" t="s">
        <v>474</v>
      </c>
      <c r="AJ76" t="s">
        <v>588</v>
      </c>
      <c r="AK76" t="s">
        <v>964</v>
      </c>
      <c r="AL76" t="s">
        <v>1278</v>
      </c>
      <c r="AM76" t="s">
        <v>351</v>
      </c>
      <c r="AN76" t="s">
        <v>588</v>
      </c>
      <c r="AO76" t="s">
        <v>1279</v>
      </c>
      <c r="AP76" t="s">
        <v>596</v>
      </c>
      <c r="AQ76" t="s">
        <v>825</v>
      </c>
      <c r="AR76" t="s">
        <v>171</v>
      </c>
      <c r="AS76" t="s">
        <v>1079</v>
      </c>
      <c r="AT76" t="s">
        <v>1271</v>
      </c>
      <c r="AU76" t="s">
        <v>598</v>
      </c>
      <c r="AV76" t="s">
        <v>595</v>
      </c>
      <c r="AW76" t="s">
        <v>1157</v>
      </c>
      <c r="AX76" t="s">
        <v>1060</v>
      </c>
      <c r="AY76" t="s">
        <v>721</v>
      </c>
      <c r="AZ76" t="s">
        <v>588</v>
      </c>
      <c r="BA76" t="s">
        <v>1280</v>
      </c>
      <c r="BB76" t="s">
        <v>1156</v>
      </c>
      <c r="BC76" t="s">
        <v>263</v>
      </c>
      <c r="BD76">
        <v>1645</v>
      </c>
      <c r="BE76">
        <v>1653</v>
      </c>
      <c r="BF76">
        <v>1658</v>
      </c>
      <c r="BG76">
        <v>1696</v>
      </c>
      <c r="BH76">
        <v>1635</v>
      </c>
      <c r="BY76" t="s">
        <v>205</v>
      </c>
      <c r="BZ76" t="s">
        <v>213</v>
      </c>
      <c r="CA76" t="s">
        <v>584</v>
      </c>
      <c r="CB76" t="s">
        <v>281</v>
      </c>
      <c r="CC76" t="s">
        <v>497</v>
      </c>
      <c r="CD76" t="s">
        <v>586</v>
      </c>
      <c r="CE76" t="s">
        <v>205</v>
      </c>
      <c r="CF76" t="s">
        <v>495</v>
      </c>
      <c r="CG76" t="s">
        <v>586</v>
      </c>
      <c r="CH76" t="s">
        <v>174</v>
      </c>
      <c r="CI76" t="s">
        <v>213</v>
      </c>
      <c r="CJ76" t="s">
        <v>722</v>
      </c>
      <c r="CK76" t="s">
        <v>205</v>
      </c>
      <c r="CL76" t="s">
        <v>495</v>
      </c>
      <c r="CM76" t="s">
        <v>734</v>
      </c>
      <c r="CN76" t="s">
        <v>496</v>
      </c>
      <c r="CO76" t="s">
        <v>213</v>
      </c>
      <c r="CP76" t="s">
        <v>734</v>
      </c>
      <c r="CQ76" t="s">
        <v>201</v>
      </c>
      <c r="CR76" t="s">
        <v>497</v>
      </c>
      <c r="CS76" t="s">
        <v>1027</v>
      </c>
      <c r="CT76" t="s">
        <v>174</v>
      </c>
      <c r="CU76" t="s">
        <v>213</v>
      </c>
      <c r="CV76" t="s">
        <v>728</v>
      </c>
      <c r="CW76" t="s">
        <v>496</v>
      </c>
      <c r="CX76" t="s">
        <v>495</v>
      </c>
      <c r="CY76" t="s">
        <v>1027</v>
      </c>
      <c r="CZ76" t="s">
        <v>201</v>
      </c>
      <c r="DA76" t="s">
        <v>495</v>
      </c>
      <c r="DB76" t="s">
        <v>180</v>
      </c>
      <c r="DC76" t="s">
        <v>205</v>
      </c>
      <c r="DD76" t="s">
        <v>644</v>
      </c>
      <c r="DE76" t="s">
        <v>601</v>
      </c>
      <c r="DF76" t="s">
        <v>726</v>
      </c>
      <c r="DG76" t="s">
        <v>213</v>
      </c>
      <c r="DH76" t="s">
        <v>180</v>
      </c>
      <c r="FH76" t="s">
        <v>1281</v>
      </c>
    </row>
    <row r="77" spans="1:164" x14ac:dyDescent="0.25">
      <c r="A77">
        <v>4</v>
      </c>
      <c r="B77" t="s">
        <v>164</v>
      </c>
      <c r="C77">
        <v>46</v>
      </c>
      <c r="D77">
        <v>4601</v>
      </c>
      <c r="E77">
        <v>974738600</v>
      </c>
      <c r="F77" t="s">
        <v>165</v>
      </c>
      <c r="G77" t="s">
        <v>166</v>
      </c>
      <c r="H77" t="s">
        <v>167</v>
      </c>
      <c r="I77" t="s">
        <v>1282</v>
      </c>
      <c r="J77" t="e">
        <f>TRIM(#REF!)</f>
        <v>#REF!</v>
      </c>
      <c r="K77" t="e">
        <f>#REF!&amp;#REF!&amp;#REF!</f>
        <v>#REF!</v>
      </c>
      <c r="L77" t="str">
        <f>IFERROR(VLOOKUP(#REF!,工作表1!E:I,2,FALSE),"")</f>
        <v/>
      </c>
      <c r="M77" t="str">
        <f>IFERROR(VLOOKUP(#REF!,工作表1!E:I,3,FALSE),"")</f>
        <v/>
      </c>
      <c r="N77" t="str">
        <f>IFERROR(VLOOKUP(#REF!,工作表1!E:I,4,FALSE),"")</f>
        <v/>
      </c>
      <c r="O77" t="str">
        <f>IFERROR(VLOOKUP(#REF!,工作表1!E:I,5,FALSE),"")</f>
        <v/>
      </c>
      <c r="P77" t="s">
        <v>1283</v>
      </c>
      <c r="Q77" t="s">
        <v>187</v>
      </c>
      <c r="R77" t="s">
        <v>604</v>
      </c>
      <c r="T77" t="s">
        <v>781</v>
      </c>
      <c r="U77" t="s">
        <v>474</v>
      </c>
      <c r="V77" t="s">
        <v>508</v>
      </c>
      <c r="X77" t="s">
        <v>1284</v>
      </c>
      <c r="Y77" t="s">
        <v>525</v>
      </c>
      <c r="Z77" t="s">
        <v>655</v>
      </c>
      <c r="AB77" t="s">
        <v>579</v>
      </c>
      <c r="AC77" t="s">
        <v>525</v>
      </c>
      <c r="AD77" t="s">
        <v>508</v>
      </c>
      <c r="AF77" t="s">
        <v>959</v>
      </c>
      <c r="AG77" t="s">
        <v>529</v>
      </c>
      <c r="AH77" t="s">
        <v>604</v>
      </c>
      <c r="AJ77" t="s">
        <v>524</v>
      </c>
      <c r="AK77" t="s">
        <v>1040</v>
      </c>
      <c r="AL77" t="s">
        <v>1156</v>
      </c>
      <c r="AM77" t="s">
        <v>494</v>
      </c>
      <c r="AN77" t="s">
        <v>595</v>
      </c>
      <c r="AO77" t="s">
        <v>1157</v>
      </c>
      <c r="AP77" t="s">
        <v>1202</v>
      </c>
      <c r="AQ77" t="s">
        <v>202</v>
      </c>
      <c r="AR77" t="s">
        <v>191</v>
      </c>
      <c r="AS77" t="s">
        <v>1285</v>
      </c>
      <c r="AT77" t="s">
        <v>589</v>
      </c>
      <c r="AU77" t="s">
        <v>644</v>
      </c>
      <c r="AV77" t="s">
        <v>588</v>
      </c>
      <c r="AW77" t="s">
        <v>1041</v>
      </c>
      <c r="AX77" t="s">
        <v>1080</v>
      </c>
      <c r="AY77" t="s">
        <v>644</v>
      </c>
      <c r="AZ77" t="s">
        <v>588</v>
      </c>
      <c r="BA77" t="s">
        <v>1280</v>
      </c>
      <c r="BB77" t="s">
        <v>1083</v>
      </c>
      <c r="BC77" t="s">
        <v>558</v>
      </c>
      <c r="BD77">
        <v>1980</v>
      </c>
      <c r="BE77">
        <v>1949</v>
      </c>
      <c r="BF77">
        <v>1990</v>
      </c>
      <c r="BG77">
        <v>1999</v>
      </c>
      <c r="BH77">
        <v>1991</v>
      </c>
      <c r="BI77" t="s">
        <v>349</v>
      </c>
      <c r="BJ77" t="s">
        <v>350</v>
      </c>
      <c r="BK77" t="s">
        <v>266</v>
      </c>
      <c r="BL77" t="s">
        <v>581</v>
      </c>
      <c r="BM77" t="s">
        <v>266</v>
      </c>
      <c r="BN77" t="s">
        <v>505</v>
      </c>
      <c r="BO77" t="s">
        <v>604</v>
      </c>
      <c r="BP77" t="s">
        <v>604</v>
      </c>
      <c r="BQ77" t="s">
        <v>190</v>
      </c>
      <c r="BR77" t="s">
        <v>501</v>
      </c>
      <c r="BS77" t="s">
        <v>945</v>
      </c>
      <c r="BT77" t="s">
        <v>548</v>
      </c>
      <c r="BU77" t="s">
        <v>545</v>
      </c>
      <c r="BV77" t="s">
        <v>970</v>
      </c>
      <c r="BW77" t="s">
        <v>1286</v>
      </c>
      <c r="BX77" t="s">
        <v>559</v>
      </c>
      <c r="DK77" t="s">
        <v>556</v>
      </c>
      <c r="DL77" t="s">
        <v>201</v>
      </c>
      <c r="DM77" t="s">
        <v>560</v>
      </c>
      <c r="DN77" t="s">
        <v>975</v>
      </c>
      <c r="DO77" t="s">
        <v>174</v>
      </c>
      <c r="DP77" t="s">
        <v>558</v>
      </c>
      <c r="DQ77" t="s">
        <v>952</v>
      </c>
      <c r="DR77" t="s">
        <v>177</v>
      </c>
      <c r="DS77" t="s">
        <v>564</v>
      </c>
      <c r="DT77" t="s">
        <v>1004</v>
      </c>
      <c r="DU77" t="s">
        <v>207</v>
      </c>
      <c r="DV77" t="s">
        <v>643</v>
      </c>
      <c r="DW77" t="s">
        <v>561</v>
      </c>
      <c r="DX77" t="s">
        <v>177</v>
      </c>
      <c r="DY77" t="s">
        <v>564</v>
      </c>
      <c r="DZ77" t="s">
        <v>561</v>
      </c>
      <c r="EA77" t="s">
        <v>174</v>
      </c>
      <c r="EB77" t="s">
        <v>560</v>
      </c>
      <c r="EC77" t="s">
        <v>1186</v>
      </c>
      <c r="ED77" t="s">
        <v>281</v>
      </c>
      <c r="EE77" t="s">
        <v>560</v>
      </c>
      <c r="EF77" t="s">
        <v>1287</v>
      </c>
      <c r="EG77" t="s">
        <v>177</v>
      </c>
      <c r="EH77" t="s">
        <v>558</v>
      </c>
      <c r="EI77" t="s">
        <v>954</v>
      </c>
      <c r="EJ77" t="s">
        <v>201</v>
      </c>
      <c r="EK77" t="s">
        <v>564</v>
      </c>
      <c r="EL77" t="s">
        <v>1239</v>
      </c>
      <c r="EM77" t="s">
        <v>201</v>
      </c>
      <c r="EN77" t="s">
        <v>643</v>
      </c>
      <c r="EO77" t="s">
        <v>1239</v>
      </c>
      <c r="EP77" t="s">
        <v>207</v>
      </c>
      <c r="EQ77" t="s">
        <v>564</v>
      </c>
      <c r="ER77" t="s">
        <v>1288</v>
      </c>
      <c r="ES77" t="s">
        <v>731</v>
      </c>
      <c r="ET77" t="s">
        <v>301</v>
      </c>
      <c r="EU77" t="s">
        <v>1289</v>
      </c>
      <c r="EV77" t="s">
        <v>301</v>
      </c>
      <c r="EW77" t="s">
        <v>623</v>
      </c>
      <c r="EX77" t="s">
        <v>1290</v>
      </c>
      <c r="EY77">
        <v>110</v>
      </c>
      <c r="EZ77">
        <v>80</v>
      </c>
      <c r="FA77" t="s">
        <v>572</v>
      </c>
      <c r="FB77" t="s">
        <v>305</v>
      </c>
      <c r="FC77" t="s">
        <v>623</v>
      </c>
      <c r="FD77" t="s">
        <v>855</v>
      </c>
      <c r="FE77">
        <v>90</v>
      </c>
      <c r="FF77">
        <v>50</v>
      </c>
      <c r="FG77" t="s">
        <v>858</v>
      </c>
      <c r="FH77" t="s">
        <v>1291</v>
      </c>
    </row>
    <row r="78" spans="1:164" x14ac:dyDescent="0.25">
      <c r="A78">
        <v>4</v>
      </c>
      <c r="B78" t="s">
        <v>164</v>
      </c>
      <c r="C78">
        <v>46</v>
      </c>
      <c r="D78">
        <v>4601</v>
      </c>
      <c r="E78">
        <v>974738600</v>
      </c>
      <c r="F78" t="s">
        <v>165</v>
      </c>
      <c r="G78" t="s">
        <v>166</v>
      </c>
      <c r="H78" t="s">
        <v>167</v>
      </c>
      <c r="I78" t="s">
        <v>1282</v>
      </c>
      <c r="J78" t="e">
        <f>TRIM(#REF!)</f>
        <v>#REF!</v>
      </c>
      <c r="K78" t="e">
        <f>#REF!&amp;#REF!&amp;#REF!</f>
        <v>#REF!</v>
      </c>
      <c r="L78" t="str">
        <f>IFERROR(VLOOKUP(#REF!,工作表1!E:I,2,FALSE),"")</f>
        <v/>
      </c>
      <c r="M78" t="str">
        <f>IFERROR(VLOOKUP(#REF!,工作表1!E:I,3,FALSE),"")</f>
        <v/>
      </c>
      <c r="N78" t="str">
        <f>IFERROR(VLOOKUP(#REF!,工作表1!E:I,4,FALSE),"")</f>
        <v/>
      </c>
      <c r="O78" t="str">
        <f>IFERROR(VLOOKUP(#REF!,工作表1!E:I,5,FALSE),"")</f>
        <v/>
      </c>
      <c r="P78" t="s">
        <v>1283</v>
      </c>
      <c r="Q78" t="s">
        <v>187</v>
      </c>
      <c r="R78" t="s">
        <v>604</v>
      </c>
      <c r="T78" t="s">
        <v>781</v>
      </c>
      <c r="U78" t="s">
        <v>474</v>
      </c>
      <c r="V78" t="s">
        <v>508</v>
      </c>
      <c r="X78" t="s">
        <v>1284</v>
      </c>
      <c r="Y78" t="s">
        <v>525</v>
      </c>
      <c r="Z78" t="s">
        <v>655</v>
      </c>
      <c r="AB78" t="s">
        <v>579</v>
      </c>
      <c r="AC78" t="s">
        <v>525</v>
      </c>
      <c r="AD78" t="s">
        <v>508</v>
      </c>
      <c r="AF78" t="s">
        <v>959</v>
      </c>
      <c r="AG78" t="s">
        <v>529</v>
      </c>
      <c r="AH78" t="s">
        <v>604</v>
      </c>
      <c r="AJ78" t="s">
        <v>524</v>
      </c>
      <c r="AK78" t="s">
        <v>1040</v>
      </c>
      <c r="AL78" t="s">
        <v>1156</v>
      </c>
      <c r="AM78" t="s">
        <v>494</v>
      </c>
      <c r="AN78" t="s">
        <v>595</v>
      </c>
      <c r="AO78" t="s">
        <v>1157</v>
      </c>
      <c r="AP78" t="s">
        <v>1202</v>
      </c>
      <c r="AQ78" t="s">
        <v>202</v>
      </c>
      <c r="AR78" t="s">
        <v>191</v>
      </c>
      <c r="AS78" t="s">
        <v>1285</v>
      </c>
      <c r="AT78" t="s">
        <v>589</v>
      </c>
      <c r="AU78" t="s">
        <v>644</v>
      </c>
      <c r="AV78" t="s">
        <v>588</v>
      </c>
      <c r="AW78" t="s">
        <v>1041</v>
      </c>
      <c r="AX78" t="s">
        <v>1080</v>
      </c>
      <c r="AY78" t="s">
        <v>644</v>
      </c>
      <c r="AZ78" t="s">
        <v>588</v>
      </c>
      <c r="BA78" t="s">
        <v>1280</v>
      </c>
      <c r="BB78" t="s">
        <v>1083</v>
      </c>
      <c r="BC78" t="s">
        <v>558</v>
      </c>
      <c r="BD78">
        <v>1980</v>
      </c>
      <c r="BE78">
        <v>1949</v>
      </c>
      <c r="BF78">
        <v>1990</v>
      </c>
      <c r="BG78">
        <v>1999</v>
      </c>
      <c r="BH78">
        <v>1991</v>
      </c>
      <c r="BI78" t="s">
        <v>261</v>
      </c>
      <c r="BJ78" t="s">
        <v>262</v>
      </c>
      <c r="BK78" t="s">
        <v>263</v>
      </c>
      <c r="BL78" t="s">
        <v>1292</v>
      </c>
      <c r="BM78" t="s">
        <v>633</v>
      </c>
      <c r="BN78" t="s">
        <v>548</v>
      </c>
      <c r="BO78" t="s">
        <v>550</v>
      </c>
      <c r="BP78" t="s">
        <v>970</v>
      </c>
      <c r="BQ78" t="s">
        <v>266</v>
      </c>
      <c r="BR78" t="s">
        <v>565</v>
      </c>
      <c r="BS78" t="s">
        <v>945</v>
      </c>
      <c r="BT78" t="s">
        <v>548</v>
      </c>
      <c r="BU78" t="s">
        <v>545</v>
      </c>
      <c r="BV78" t="s">
        <v>970</v>
      </c>
      <c r="BW78" t="s">
        <v>1286</v>
      </c>
      <c r="BX78" t="s">
        <v>559</v>
      </c>
      <c r="DK78" t="s">
        <v>556</v>
      </c>
      <c r="DL78" t="s">
        <v>201</v>
      </c>
      <c r="DM78" t="s">
        <v>560</v>
      </c>
      <c r="DN78" t="s">
        <v>975</v>
      </c>
      <c r="DO78" t="s">
        <v>174</v>
      </c>
      <c r="DP78" t="s">
        <v>558</v>
      </c>
      <c r="DQ78" t="s">
        <v>952</v>
      </c>
      <c r="DR78" t="s">
        <v>177</v>
      </c>
      <c r="DS78" t="s">
        <v>564</v>
      </c>
      <c r="DT78" t="s">
        <v>1004</v>
      </c>
      <c r="DU78" t="s">
        <v>207</v>
      </c>
      <c r="DV78" t="s">
        <v>643</v>
      </c>
      <c r="DW78" t="s">
        <v>561</v>
      </c>
      <c r="DX78" t="s">
        <v>177</v>
      </c>
      <c r="DY78" t="s">
        <v>564</v>
      </c>
      <c r="DZ78" t="s">
        <v>561</v>
      </c>
      <c r="EA78" t="s">
        <v>174</v>
      </c>
      <c r="EB78" t="s">
        <v>560</v>
      </c>
      <c r="EC78" t="s">
        <v>1186</v>
      </c>
      <c r="ED78" t="s">
        <v>281</v>
      </c>
      <c r="EE78" t="s">
        <v>560</v>
      </c>
      <c r="EF78" t="s">
        <v>1287</v>
      </c>
      <c r="EG78" t="s">
        <v>177</v>
      </c>
      <c r="EH78" t="s">
        <v>558</v>
      </c>
      <c r="EI78" t="s">
        <v>954</v>
      </c>
      <c r="EJ78" t="s">
        <v>201</v>
      </c>
      <c r="EK78" t="s">
        <v>564</v>
      </c>
      <c r="EL78" t="s">
        <v>1239</v>
      </c>
      <c r="EM78" t="s">
        <v>201</v>
      </c>
      <c r="EN78" t="s">
        <v>643</v>
      </c>
      <c r="EO78" t="s">
        <v>1239</v>
      </c>
      <c r="EP78" t="s">
        <v>207</v>
      </c>
      <c r="EQ78" t="s">
        <v>564</v>
      </c>
      <c r="ER78" t="s">
        <v>1288</v>
      </c>
      <c r="ES78" t="s">
        <v>731</v>
      </c>
      <c r="ET78" t="s">
        <v>301</v>
      </c>
      <c r="EU78" t="s">
        <v>1289</v>
      </c>
      <c r="EV78" t="s">
        <v>301</v>
      </c>
      <c r="EW78" t="s">
        <v>623</v>
      </c>
      <c r="EX78" t="s">
        <v>1290</v>
      </c>
      <c r="EY78">
        <v>110</v>
      </c>
      <c r="EZ78">
        <v>80</v>
      </c>
      <c r="FA78" t="s">
        <v>572</v>
      </c>
      <c r="FB78" t="s">
        <v>305</v>
      </c>
      <c r="FC78" t="s">
        <v>623</v>
      </c>
      <c r="FD78" t="s">
        <v>855</v>
      </c>
      <c r="FE78">
        <v>90</v>
      </c>
      <c r="FF78">
        <v>50</v>
      </c>
      <c r="FG78" t="s">
        <v>858</v>
      </c>
      <c r="FH78" t="s">
        <v>1291</v>
      </c>
    </row>
    <row r="79" spans="1:164" x14ac:dyDescent="0.25">
      <c r="A79">
        <v>4</v>
      </c>
      <c r="B79" t="s">
        <v>164</v>
      </c>
      <c r="C79">
        <v>46</v>
      </c>
      <c r="D79">
        <v>4601</v>
      </c>
      <c r="E79">
        <v>992584602</v>
      </c>
      <c r="F79" t="s">
        <v>165</v>
      </c>
      <c r="G79" t="s">
        <v>166</v>
      </c>
      <c r="H79" t="s">
        <v>167</v>
      </c>
      <c r="I79" t="s">
        <v>1293</v>
      </c>
      <c r="J79" t="e">
        <f>TRIM(#REF!)</f>
        <v>#REF!</v>
      </c>
      <c r="K79" t="e">
        <f>#REF!&amp;#REF!&amp;#REF!</f>
        <v>#REF!</v>
      </c>
      <c r="L79" t="str">
        <f>IFERROR(VLOOKUP(#REF!,工作表1!E:I,2,FALSE),"")</f>
        <v/>
      </c>
      <c r="M79" t="str">
        <f>IFERROR(VLOOKUP(#REF!,工作表1!E:I,3,FALSE),"")</f>
        <v/>
      </c>
      <c r="N79" t="str">
        <f>IFERROR(VLOOKUP(#REF!,工作表1!E:I,4,FALSE),"")</f>
        <v/>
      </c>
      <c r="O79" t="str">
        <f>IFERROR(VLOOKUP(#REF!,工作表1!E:I,5,FALSE),"")</f>
        <v/>
      </c>
      <c r="P79" t="s">
        <v>1294</v>
      </c>
      <c r="Q79" t="s">
        <v>580</v>
      </c>
      <c r="R79" t="s">
        <v>604</v>
      </c>
      <c r="T79" t="s">
        <v>1295</v>
      </c>
      <c r="U79" t="s">
        <v>170</v>
      </c>
      <c r="V79" t="s">
        <v>604</v>
      </c>
      <c r="X79" t="s">
        <v>845</v>
      </c>
      <c r="Y79" t="s">
        <v>519</v>
      </c>
      <c r="Z79" t="s">
        <v>655</v>
      </c>
      <c r="AB79" t="s">
        <v>959</v>
      </c>
      <c r="AC79" t="s">
        <v>529</v>
      </c>
      <c r="AD79" t="s">
        <v>604</v>
      </c>
      <c r="AF79" t="s">
        <v>328</v>
      </c>
      <c r="AG79" t="s">
        <v>170</v>
      </c>
      <c r="AH79" t="s">
        <v>508</v>
      </c>
      <c r="AJ79" t="s">
        <v>171</v>
      </c>
      <c r="AK79" t="s">
        <v>760</v>
      </c>
      <c r="AL79" t="s">
        <v>703</v>
      </c>
      <c r="AM79" t="s">
        <v>630</v>
      </c>
      <c r="AN79" t="s">
        <v>595</v>
      </c>
      <c r="AO79" t="s">
        <v>1136</v>
      </c>
      <c r="AP79" t="s">
        <v>1158</v>
      </c>
      <c r="AQ79" t="s">
        <v>204</v>
      </c>
      <c r="AR79" t="s">
        <v>595</v>
      </c>
      <c r="AS79" t="s">
        <v>946</v>
      </c>
      <c r="AT79" t="s">
        <v>591</v>
      </c>
      <c r="AU79" t="s">
        <v>204</v>
      </c>
      <c r="AV79" t="s">
        <v>171</v>
      </c>
      <c r="AW79" t="s">
        <v>851</v>
      </c>
      <c r="AX79" t="s">
        <v>1278</v>
      </c>
      <c r="AY79" t="s">
        <v>644</v>
      </c>
      <c r="AZ79" t="s">
        <v>593</v>
      </c>
      <c r="BA79" t="s">
        <v>596</v>
      </c>
      <c r="BB79" t="s">
        <v>597</v>
      </c>
      <c r="BC79" t="s">
        <v>564</v>
      </c>
      <c r="BD79">
        <v>1998</v>
      </c>
      <c r="BE79">
        <v>1914</v>
      </c>
      <c r="BF79">
        <v>1974</v>
      </c>
      <c r="BG79">
        <v>1998</v>
      </c>
      <c r="BH79">
        <v>1741</v>
      </c>
      <c r="BI79" t="s">
        <v>261</v>
      </c>
      <c r="BJ79" t="s">
        <v>262</v>
      </c>
      <c r="BK79" t="s">
        <v>633</v>
      </c>
      <c r="BL79" t="s">
        <v>1296</v>
      </c>
      <c r="BM79" t="s">
        <v>550</v>
      </c>
      <c r="BN79" t="s">
        <v>565</v>
      </c>
      <c r="BO79" t="s">
        <v>190</v>
      </c>
      <c r="BP79" t="s">
        <v>1297</v>
      </c>
      <c r="BQ79" t="s">
        <v>633</v>
      </c>
      <c r="BR79" t="s">
        <v>561</v>
      </c>
      <c r="BS79" t="s">
        <v>435</v>
      </c>
      <c r="BT79" t="s">
        <v>971</v>
      </c>
      <c r="BU79" t="s">
        <v>1263</v>
      </c>
      <c r="BV79" t="s">
        <v>1297</v>
      </c>
      <c r="BW79" t="s">
        <v>1036</v>
      </c>
      <c r="BX79" t="s">
        <v>561</v>
      </c>
      <c r="DI79" t="s">
        <v>207</v>
      </c>
      <c r="DJ79" t="s">
        <v>560</v>
      </c>
      <c r="DK79" t="s">
        <v>858</v>
      </c>
      <c r="DL79" t="s">
        <v>174</v>
      </c>
      <c r="DM79" t="s">
        <v>562</v>
      </c>
      <c r="DN79" t="s">
        <v>561</v>
      </c>
      <c r="DO79" t="s">
        <v>174</v>
      </c>
      <c r="DP79" t="s">
        <v>560</v>
      </c>
      <c r="DQ79" t="s">
        <v>972</v>
      </c>
      <c r="DR79" t="s">
        <v>201</v>
      </c>
      <c r="DS79" t="s">
        <v>564</v>
      </c>
      <c r="DT79" t="s">
        <v>972</v>
      </c>
      <c r="DU79" t="s">
        <v>177</v>
      </c>
      <c r="DV79" t="s">
        <v>560</v>
      </c>
      <c r="DW79" t="s">
        <v>561</v>
      </c>
      <c r="DX79" t="s">
        <v>174</v>
      </c>
      <c r="DY79" t="s">
        <v>560</v>
      </c>
      <c r="DZ79" t="s">
        <v>1003</v>
      </c>
      <c r="EA79" t="s">
        <v>174</v>
      </c>
      <c r="EB79" t="s">
        <v>560</v>
      </c>
      <c r="EC79" t="s">
        <v>859</v>
      </c>
      <c r="ED79" t="s">
        <v>281</v>
      </c>
      <c r="EE79" t="s">
        <v>558</v>
      </c>
      <c r="EF79" t="s">
        <v>975</v>
      </c>
      <c r="EG79" t="s">
        <v>281</v>
      </c>
      <c r="EH79" t="s">
        <v>558</v>
      </c>
      <c r="EI79" t="s">
        <v>954</v>
      </c>
      <c r="EJ79" t="s">
        <v>174</v>
      </c>
      <c r="EK79" t="s">
        <v>301</v>
      </c>
      <c r="EL79" t="s">
        <v>818</v>
      </c>
      <c r="EM79" t="s">
        <v>207</v>
      </c>
      <c r="EN79" t="s">
        <v>566</v>
      </c>
      <c r="EO79" t="s">
        <v>691</v>
      </c>
      <c r="EP79" t="s">
        <v>207</v>
      </c>
      <c r="EQ79" t="s">
        <v>301</v>
      </c>
      <c r="ER79" t="s">
        <v>811</v>
      </c>
      <c r="ES79" t="s">
        <v>731</v>
      </c>
      <c r="ET79" t="s">
        <v>301</v>
      </c>
      <c r="EU79" t="s">
        <v>859</v>
      </c>
      <c r="EV79" t="s">
        <v>301</v>
      </c>
      <c r="EW79" t="s">
        <v>623</v>
      </c>
      <c r="EX79" t="s">
        <v>1289</v>
      </c>
      <c r="EY79">
        <v>80</v>
      </c>
      <c r="EZ79">
        <v>60</v>
      </c>
      <c r="FA79" t="s">
        <v>858</v>
      </c>
      <c r="FB79" t="s">
        <v>468</v>
      </c>
      <c r="FC79" t="s">
        <v>632</v>
      </c>
      <c r="FD79" t="s">
        <v>552</v>
      </c>
      <c r="FE79">
        <v>90</v>
      </c>
      <c r="FF79">
        <v>60</v>
      </c>
      <c r="FG79" t="s">
        <v>548</v>
      </c>
      <c r="FH79" t="s">
        <v>1298</v>
      </c>
    </row>
    <row r="80" spans="1:164" x14ac:dyDescent="0.25">
      <c r="A80">
        <v>4</v>
      </c>
      <c r="B80" t="s">
        <v>164</v>
      </c>
      <c r="C80">
        <v>46</v>
      </c>
      <c r="D80">
        <v>4601</v>
      </c>
      <c r="E80">
        <v>974737825</v>
      </c>
      <c r="F80" t="s">
        <v>165</v>
      </c>
      <c r="G80" t="s">
        <v>166</v>
      </c>
      <c r="H80" t="s">
        <v>167</v>
      </c>
      <c r="I80" t="s">
        <v>1299</v>
      </c>
      <c r="J80" t="e">
        <f>TRIM(#REF!)</f>
        <v>#REF!</v>
      </c>
      <c r="K80" t="e">
        <f>#REF!&amp;#REF!&amp;#REF!</f>
        <v>#REF!</v>
      </c>
      <c r="L80" t="str">
        <f>IFERROR(VLOOKUP(#REF!,工作表1!E:I,2,FALSE),"")</f>
        <v/>
      </c>
      <c r="M80" t="str">
        <f>IFERROR(VLOOKUP(#REF!,工作表1!E:I,3,FALSE),"")</f>
        <v/>
      </c>
      <c r="N80" t="str">
        <f>IFERROR(VLOOKUP(#REF!,工作表1!E:I,4,FALSE),"")</f>
        <v/>
      </c>
      <c r="O80" t="str">
        <f>IFERROR(VLOOKUP(#REF!,工作表1!E:I,5,FALSE),"")</f>
        <v/>
      </c>
      <c r="P80" t="s">
        <v>503</v>
      </c>
      <c r="Q80" t="s">
        <v>182</v>
      </c>
      <c r="R80" t="s">
        <v>170</v>
      </c>
      <c r="T80" t="s">
        <v>1300</v>
      </c>
      <c r="U80" t="s">
        <v>173</v>
      </c>
      <c r="V80" t="s">
        <v>173</v>
      </c>
      <c r="X80" t="s">
        <v>509</v>
      </c>
      <c r="Y80" t="s">
        <v>170</v>
      </c>
      <c r="Z80" t="s">
        <v>476</v>
      </c>
      <c r="AB80" t="s">
        <v>429</v>
      </c>
      <c r="AC80" t="s">
        <v>473</v>
      </c>
      <c r="AD80" t="s">
        <v>504</v>
      </c>
      <c r="AF80" t="s">
        <v>1301</v>
      </c>
      <c r="AG80" t="s">
        <v>476</v>
      </c>
      <c r="AH80" t="s">
        <v>655</v>
      </c>
      <c r="AJ80" t="s">
        <v>182</v>
      </c>
      <c r="AK80" t="s">
        <v>1112</v>
      </c>
      <c r="AL80" t="s">
        <v>616</v>
      </c>
      <c r="AM80" t="s">
        <v>214</v>
      </c>
      <c r="AN80" t="s">
        <v>182</v>
      </c>
      <c r="AO80" t="s">
        <v>782</v>
      </c>
      <c r="AP80" t="s">
        <v>660</v>
      </c>
      <c r="AQ80" t="s">
        <v>211</v>
      </c>
      <c r="AR80" t="s">
        <v>612</v>
      </c>
      <c r="AS80" t="s">
        <v>702</v>
      </c>
      <c r="AT80" t="s">
        <v>982</v>
      </c>
      <c r="AU80" t="s">
        <v>211</v>
      </c>
      <c r="AV80" t="s">
        <v>519</v>
      </c>
      <c r="AW80" t="s">
        <v>658</v>
      </c>
      <c r="AX80" t="s">
        <v>518</v>
      </c>
      <c r="AY80" t="s">
        <v>486</v>
      </c>
      <c r="AZ80" t="s">
        <v>512</v>
      </c>
      <c r="BA80" t="s">
        <v>1121</v>
      </c>
      <c r="BB80" t="s">
        <v>808</v>
      </c>
      <c r="BC80" t="s">
        <v>632</v>
      </c>
      <c r="BD80">
        <v>1590</v>
      </c>
      <c r="BE80">
        <v>1673</v>
      </c>
      <c r="BF80">
        <v>1680</v>
      </c>
      <c r="BG80">
        <v>1701</v>
      </c>
      <c r="BH80">
        <v>1695</v>
      </c>
      <c r="CA80" t="s">
        <v>556</v>
      </c>
      <c r="CB80" t="s">
        <v>201</v>
      </c>
      <c r="CC80" t="s">
        <v>214</v>
      </c>
      <c r="CD80" t="s">
        <v>207</v>
      </c>
      <c r="CE80" t="s">
        <v>201</v>
      </c>
      <c r="CF80" t="s">
        <v>213</v>
      </c>
      <c r="CG80" t="s">
        <v>207</v>
      </c>
      <c r="CH80" t="s">
        <v>207</v>
      </c>
      <c r="CI80" t="s">
        <v>557</v>
      </c>
      <c r="CJ80" t="s">
        <v>177</v>
      </c>
      <c r="CK80" t="s">
        <v>281</v>
      </c>
      <c r="CL80" t="s">
        <v>497</v>
      </c>
      <c r="CM80" t="s">
        <v>216</v>
      </c>
      <c r="CN80" t="s">
        <v>281</v>
      </c>
      <c r="CO80" t="s">
        <v>644</v>
      </c>
      <c r="CP80" t="s">
        <v>216</v>
      </c>
      <c r="CQ80" t="s">
        <v>174</v>
      </c>
      <c r="CR80" t="s">
        <v>213</v>
      </c>
      <c r="CS80" t="s">
        <v>525</v>
      </c>
      <c r="CT80" t="s">
        <v>210</v>
      </c>
      <c r="CU80" t="s">
        <v>204</v>
      </c>
      <c r="CV80" t="s">
        <v>525</v>
      </c>
      <c r="CW80" t="s">
        <v>177</v>
      </c>
      <c r="CX80" t="s">
        <v>494</v>
      </c>
      <c r="CY80" t="s">
        <v>209</v>
      </c>
      <c r="CZ80" t="s">
        <v>210</v>
      </c>
      <c r="DA80" t="s">
        <v>214</v>
      </c>
      <c r="DB80" t="s">
        <v>524</v>
      </c>
      <c r="DC80" t="s">
        <v>525</v>
      </c>
      <c r="DD80" t="s">
        <v>494</v>
      </c>
      <c r="DE80" t="s">
        <v>524</v>
      </c>
      <c r="DF80" t="s">
        <v>177</v>
      </c>
      <c r="DG80" t="s">
        <v>206</v>
      </c>
      <c r="DH80" t="s">
        <v>203</v>
      </c>
      <c r="FH80" t="s">
        <v>1302</v>
      </c>
    </row>
    <row r="81" spans="1:164" x14ac:dyDescent="0.25">
      <c r="A81">
        <v>4</v>
      </c>
      <c r="B81" t="s">
        <v>164</v>
      </c>
      <c r="C81">
        <v>46</v>
      </c>
      <c r="D81">
        <v>4601</v>
      </c>
      <c r="E81">
        <v>874737992</v>
      </c>
      <c r="F81" t="s">
        <v>165</v>
      </c>
      <c r="G81" t="s">
        <v>166</v>
      </c>
      <c r="H81" t="s">
        <v>167</v>
      </c>
      <c r="I81" t="s">
        <v>1303</v>
      </c>
      <c r="J81" t="e">
        <f>TRIM(#REF!)</f>
        <v>#REF!</v>
      </c>
      <c r="K81" t="e">
        <f>#REF!&amp;#REF!&amp;#REF!</f>
        <v>#REF!</v>
      </c>
      <c r="L81" t="str">
        <f>IFERROR(VLOOKUP(#REF!,工作表1!E:I,2,FALSE),"")</f>
        <v/>
      </c>
      <c r="M81" t="str">
        <f>IFERROR(VLOOKUP(#REF!,工作表1!E:I,3,FALSE),"")</f>
        <v/>
      </c>
      <c r="N81" t="str">
        <f>IFERROR(VLOOKUP(#REF!,工作表1!E:I,4,FALSE),"")</f>
        <v/>
      </c>
      <c r="O81" t="str">
        <f>IFERROR(VLOOKUP(#REF!,工作表1!E:I,5,FALSE),"")</f>
        <v/>
      </c>
      <c r="P81" t="s">
        <v>1304</v>
      </c>
      <c r="Q81" t="s">
        <v>195</v>
      </c>
      <c r="R81" t="s">
        <v>593</v>
      </c>
      <c r="T81" t="s">
        <v>1305</v>
      </c>
      <c r="U81" t="s">
        <v>187</v>
      </c>
      <c r="V81" t="s">
        <v>210</v>
      </c>
      <c r="X81" t="s">
        <v>1306</v>
      </c>
      <c r="Y81" t="s">
        <v>281</v>
      </c>
      <c r="Z81" t="s">
        <v>529</v>
      </c>
      <c r="AB81" t="s">
        <v>1307</v>
      </c>
      <c r="AC81" t="s">
        <v>201</v>
      </c>
      <c r="AD81" t="s">
        <v>281</v>
      </c>
      <c r="AF81" t="s">
        <v>1308</v>
      </c>
      <c r="AG81" t="s">
        <v>595</v>
      </c>
      <c r="AH81" t="s">
        <v>174</v>
      </c>
      <c r="AJ81" t="s">
        <v>600</v>
      </c>
      <c r="AK81" t="s">
        <v>1269</v>
      </c>
      <c r="AL81" t="s">
        <v>810</v>
      </c>
      <c r="AM81" t="s">
        <v>652</v>
      </c>
      <c r="AN81" t="s">
        <v>582</v>
      </c>
      <c r="AO81" t="s">
        <v>876</v>
      </c>
      <c r="AP81" t="s">
        <v>1309</v>
      </c>
      <c r="AQ81" t="s">
        <v>637</v>
      </c>
      <c r="AR81" t="s">
        <v>729</v>
      </c>
      <c r="AS81" t="s">
        <v>1310</v>
      </c>
      <c r="AT81" t="s">
        <v>1179</v>
      </c>
      <c r="AU81" t="s">
        <v>652</v>
      </c>
      <c r="AV81" t="s">
        <v>582</v>
      </c>
      <c r="AW81" t="s">
        <v>1311</v>
      </c>
      <c r="AX81" t="s">
        <v>1312</v>
      </c>
      <c r="AY81" t="s">
        <v>186</v>
      </c>
      <c r="AZ81" t="s">
        <v>601</v>
      </c>
      <c r="BA81" t="s">
        <v>1313</v>
      </c>
      <c r="BB81" t="s">
        <v>1314</v>
      </c>
      <c r="BC81" t="s">
        <v>522</v>
      </c>
      <c r="BD81">
        <v>1995</v>
      </c>
      <c r="BE81">
        <v>1986</v>
      </c>
      <c r="BF81">
        <v>2270</v>
      </c>
      <c r="BG81">
        <v>1999</v>
      </c>
      <c r="BH81">
        <v>1900</v>
      </c>
      <c r="BI81" t="s">
        <v>349</v>
      </c>
      <c r="BJ81" t="s">
        <v>350</v>
      </c>
      <c r="BK81" t="s">
        <v>721</v>
      </c>
      <c r="BL81" t="s">
        <v>519</v>
      </c>
      <c r="BM81" t="s">
        <v>629</v>
      </c>
      <c r="BN81" t="s">
        <v>529</v>
      </c>
      <c r="BO81" t="s">
        <v>186</v>
      </c>
      <c r="BP81" t="s">
        <v>173</v>
      </c>
      <c r="BQ81" t="s">
        <v>630</v>
      </c>
      <c r="BR81" t="s">
        <v>480</v>
      </c>
      <c r="BS81" t="s">
        <v>628</v>
      </c>
      <c r="BT81" t="s">
        <v>883</v>
      </c>
      <c r="BU81" t="s">
        <v>1038</v>
      </c>
      <c r="BV81" t="s">
        <v>1315</v>
      </c>
      <c r="BW81" t="s">
        <v>854</v>
      </c>
      <c r="BX81" t="s">
        <v>857</v>
      </c>
      <c r="DI81" t="s">
        <v>177</v>
      </c>
      <c r="DJ81" t="s">
        <v>557</v>
      </c>
      <c r="DK81" t="s">
        <v>174</v>
      </c>
      <c r="DL81" t="s">
        <v>281</v>
      </c>
      <c r="DM81" t="s">
        <v>495</v>
      </c>
      <c r="DN81" t="s">
        <v>686</v>
      </c>
      <c r="DO81" t="s">
        <v>205</v>
      </c>
      <c r="DP81" t="s">
        <v>522</v>
      </c>
      <c r="DQ81" t="s">
        <v>512</v>
      </c>
      <c r="DR81" t="s">
        <v>174</v>
      </c>
      <c r="DS81" t="s">
        <v>643</v>
      </c>
      <c r="DT81" t="s">
        <v>1316</v>
      </c>
      <c r="DU81" t="s">
        <v>281</v>
      </c>
      <c r="DV81" t="s">
        <v>564</v>
      </c>
      <c r="DW81" t="s">
        <v>1317</v>
      </c>
      <c r="DX81" t="s">
        <v>207</v>
      </c>
      <c r="DY81" t="s">
        <v>606</v>
      </c>
      <c r="DZ81" t="s">
        <v>1318</v>
      </c>
      <c r="EA81" t="s">
        <v>201</v>
      </c>
      <c r="EB81" t="s">
        <v>562</v>
      </c>
      <c r="EC81" t="s">
        <v>1319</v>
      </c>
      <c r="ED81" t="s">
        <v>201</v>
      </c>
      <c r="EE81" t="s">
        <v>562</v>
      </c>
      <c r="EF81" t="s">
        <v>1320</v>
      </c>
      <c r="EG81" t="s">
        <v>281</v>
      </c>
      <c r="EH81" t="s">
        <v>560</v>
      </c>
      <c r="EI81" t="s">
        <v>1321</v>
      </c>
      <c r="EJ81" t="s">
        <v>205</v>
      </c>
      <c r="EK81" t="s">
        <v>643</v>
      </c>
      <c r="EL81" t="s">
        <v>1322</v>
      </c>
      <c r="EM81" t="s">
        <v>174</v>
      </c>
      <c r="EN81" t="s">
        <v>564</v>
      </c>
      <c r="EO81" t="s">
        <v>739</v>
      </c>
      <c r="EP81" t="s">
        <v>174</v>
      </c>
      <c r="EQ81" t="s">
        <v>564</v>
      </c>
      <c r="ER81" t="s">
        <v>1115</v>
      </c>
      <c r="ES81" t="s">
        <v>301</v>
      </c>
      <c r="ET81" t="s">
        <v>306</v>
      </c>
      <c r="EU81" t="s">
        <v>1323</v>
      </c>
      <c r="EV81" t="s">
        <v>1244</v>
      </c>
      <c r="EW81" t="s">
        <v>617</v>
      </c>
      <c r="EX81" t="s">
        <v>865</v>
      </c>
      <c r="EY81">
        <v>90</v>
      </c>
      <c r="EZ81">
        <v>120</v>
      </c>
      <c r="FA81" t="s">
        <v>1316</v>
      </c>
      <c r="FB81" t="s">
        <v>388</v>
      </c>
      <c r="FC81" t="s">
        <v>574</v>
      </c>
      <c r="FD81" t="s">
        <v>613</v>
      </c>
      <c r="FE81">
        <v>100</v>
      </c>
      <c r="FF81">
        <v>110</v>
      </c>
      <c r="FG81" t="s">
        <v>610</v>
      </c>
      <c r="FH81" t="s">
        <v>1324</v>
      </c>
    </row>
    <row r="82" spans="1:164" x14ac:dyDescent="0.25">
      <c r="A82">
        <v>4</v>
      </c>
      <c r="B82" t="s">
        <v>164</v>
      </c>
      <c r="C82">
        <v>46</v>
      </c>
      <c r="D82">
        <v>4601</v>
      </c>
      <c r="E82">
        <v>874737992</v>
      </c>
      <c r="F82" t="s">
        <v>165</v>
      </c>
      <c r="G82" t="s">
        <v>166</v>
      </c>
      <c r="H82" t="s">
        <v>167</v>
      </c>
      <c r="I82" t="s">
        <v>1303</v>
      </c>
      <c r="J82" t="e">
        <f>TRIM(#REF!)</f>
        <v>#REF!</v>
      </c>
      <c r="K82" t="e">
        <f>#REF!&amp;#REF!&amp;#REF!</f>
        <v>#REF!</v>
      </c>
      <c r="L82" t="str">
        <f>IFERROR(VLOOKUP(#REF!,工作表1!E:I,2,FALSE),"")</f>
        <v/>
      </c>
      <c r="M82" t="str">
        <f>IFERROR(VLOOKUP(#REF!,工作表1!E:I,3,FALSE),"")</f>
        <v/>
      </c>
      <c r="N82" t="str">
        <f>IFERROR(VLOOKUP(#REF!,工作表1!E:I,4,FALSE),"")</f>
        <v/>
      </c>
      <c r="O82" t="str">
        <f>IFERROR(VLOOKUP(#REF!,工作表1!E:I,5,FALSE),"")</f>
        <v/>
      </c>
      <c r="P82" t="s">
        <v>1304</v>
      </c>
      <c r="Q82" t="s">
        <v>195</v>
      </c>
      <c r="R82" t="s">
        <v>593</v>
      </c>
      <c r="T82" t="s">
        <v>1305</v>
      </c>
      <c r="U82" t="s">
        <v>187</v>
      </c>
      <c r="V82" t="s">
        <v>210</v>
      </c>
      <c r="X82" t="s">
        <v>1306</v>
      </c>
      <c r="Y82" t="s">
        <v>281</v>
      </c>
      <c r="Z82" t="s">
        <v>529</v>
      </c>
      <c r="AB82" t="s">
        <v>1307</v>
      </c>
      <c r="AC82" t="s">
        <v>201</v>
      </c>
      <c r="AD82" t="s">
        <v>281</v>
      </c>
      <c r="AF82" t="s">
        <v>1308</v>
      </c>
      <c r="AG82" t="s">
        <v>595</v>
      </c>
      <c r="AH82" t="s">
        <v>174</v>
      </c>
      <c r="AJ82" t="s">
        <v>600</v>
      </c>
      <c r="AK82" t="s">
        <v>1269</v>
      </c>
      <c r="AL82" t="s">
        <v>810</v>
      </c>
      <c r="AM82" t="s">
        <v>652</v>
      </c>
      <c r="AN82" t="s">
        <v>582</v>
      </c>
      <c r="AO82" t="s">
        <v>876</v>
      </c>
      <c r="AP82" t="s">
        <v>1309</v>
      </c>
      <c r="AQ82" t="s">
        <v>637</v>
      </c>
      <c r="AR82" t="s">
        <v>729</v>
      </c>
      <c r="AS82" t="s">
        <v>1310</v>
      </c>
      <c r="AT82" t="s">
        <v>1179</v>
      </c>
      <c r="AU82" t="s">
        <v>652</v>
      </c>
      <c r="AV82" t="s">
        <v>582</v>
      </c>
      <c r="AW82" t="s">
        <v>1311</v>
      </c>
      <c r="AX82" t="s">
        <v>1312</v>
      </c>
      <c r="AY82" t="s">
        <v>186</v>
      </c>
      <c r="AZ82" t="s">
        <v>601</v>
      </c>
      <c r="BA82" t="s">
        <v>1313</v>
      </c>
      <c r="BB82" t="s">
        <v>1314</v>
      </c>
      <c r="BC82" t="s">
        <v>522</v>
      </c>
      <c r="BD82">
        <v>1995</v>
      </c>
      <c r="BE82">
        <v>1986</v>
      </c>
      <c r="BF82">
        <v>2270</v>
      </c>
      <c r="BG82">
        <v>1999</v>
      </c>
      <c r="BH82">
        <v>1900</v>
      </c>
      <c r="BI82" t="s">
        <v>261</v>
      </c>
      <c r="BJ82" t="s">
        <v>262</v>
      </c>
      <c r="BK82" t="s">
        <v>263</v>
      </c>
      <c r="BL82" t="s">
        <v>575</v>
      </c>
      <c r="BM82" t="s">
        <v>633</v>
      </c>
      <c r="BN82" t="s">
        <v>934</v>
      </c>
      <c r="BO82" t="s">
        <v>190</v>
      </c>
      <c r="BP82" t="s">
        <v>1315</v>
      </c>
      <c r="BQ82" t="s">
        <v>550</v>
      </c>
      <c r="BR82" t="s">
        <v>736</v>
      </c>
      <c r="BS82" t="s">
        <v>628</v>
      </c>
      <c r="BT82" t="s">
        <v>883</v>
      </c>
      <c r="BU82" t="s">
        <v>1038</v>
      </c>
      <c r="BV82" t="s">
        <v>1315</v>
      </c>
      <c r="BW82" t="s">
        <v>854</v>
      </c>
      <c r="BX82" t="s">
        <v>857</v>
      </c>
      <c r="DI82" t="s">
        <v>177</v>
      </c>
      <c r="DJ82" t="s">
        <v>557</v>
      </c>
      <c r="DK82" t="s">
        <v>174</v>
      </c>
      <c r="DL82" t="s">
        <v>281</v>
      </c>
      <c r="DM82" t="s">
        <v>495</v>
      </c>
      <c r="DN82" t="s">
        <v>686</v>
      </c>
      <c r="DO82" t="s">
        <v>205</v>
      </c>
      <c r="DP82" t="s">
        <v>522</v>
      </c>
      <c r="DQ82" t="s">
        <v>512</v>
      </c>
      <c r="DR82" t="s">
        <v>174</v>
      </c>
      <c r="DS82" t="s">
        <v>643</v>
      </c>
      <c r="DT82" t="s">
        <v>1316</v>
      </c>
      <c r="DU82" t="s">
        <v>281</v>
      </c>
      <c r="DV82" t="s">
        <v>564</v>
      </c>
      <c r="DW82" t="s">
        <v>1317</v>
      </c>
      <c r="DX82" t="s">
        <v>207</v>
      </c>
      <c r="DY82" t="s">
        <v>606</v>
      </c>
      <c r="DZ82" t="s">
        <v>1318</v>
      </c>
      <c r="EA82" t="s">
        <v>201</v>
      </c>
      <c r="EB82" t="s">
        <v>562</v>
      </c>
      <c r="EC82" t="s">
        <v>1319</v>
      </c>
      <c r="ED82" t="s">
        <v>201</v>
      </c>
      <c r="EE82" t="s">
        <v>562</v>
      </c>
      <c r="EF82" t="s">
        <v>1320</v>
      </c>
      <c r="EG82" t="s">
        <v>281</v>
      </c>
      <c r="EH82" t="s">
        <v>560</v>
      </c>
      <c r="EI82" t="s">
        <v>1321</v>
      </c>
      <c r="EJ82" t="s">
        <v>205</v>
      </c>
      <c r="EK82" t="s">
        <v>643</v>
      </c>
      <c r="EL82" t="s">
        <v>1322</v>
      </c>
      <c r="EM82" t="s">
        <v>174</v>
      </c>
      <c r="EN82" t="s">
        <v>564</v>
      </c>
      <c r="EO82" t="s">
        <v>739</v>
      </c>
      <c r="EP82" t="s">
        <v>174</v>
      </c>
      <c r="EQ82" t="s">
        <v>564</v>
      </c>
      <c r="ER82" t="s">
        <v>1115</v>
      </c>
      <c r="ES82" t="s">
        <v>301</v>
      </c>
      <c r="ET82" t="s">
        <v>306</v>
      </c>
      <c r="EU82" t="s">
        <v>1323</v>
      </c>
      <c r="EV82" t="s">
        <v>1244</v>
      </c>
      <c r="EW82" t="s">
        <v>617</v>
      </c>
      <c r="EX82" t="s">
        <v>865</v>
      </c>
      <c r="EY82">
        <v>90</v>
      </c>
      <c r="EZ82">
        <v>120</v>
      </c>
      <c r="FA82" t="s">
        <v>1316</v>
      </c>
      <c r="FB82" t="s">
        <v>388</v>
      </c>
      <c r="FC82" t="s">
        <v>574</v>
      </c>
      <c r="FD82" t="s">
        <v>613</v>
      </c>
      <c r="FE82">
        <v>100</v>
      </c>
      <c r="FF82">
        <v>110</v>
      </c>
      <c r="FG82" t="s">
        <v>610</v>
      </c>
      <c r="FH82" t="s">
        <v>1324</v>
      </c>
    </row>
    <row r="83" spans="1:164" x14ac:dyDescent="0.25">
      <c r="A83">
        <v>4</v>
      </c>
      <c r="B83" t="s">
        <v>164</v>
      </c>
      <c r="C83">
        <v>46</v>
      </c>
      <c r="D83">
        <v>4601</v>
      </c>
      <c r="E83">
        <v>973159232</v>
      </c>
      <c r="F83" t="s">
        <v>165</v>
      </c>
      <c r="G83" t="s">
        <v>166</v>
      </c>
      <c r="H83" t="s">
        <v>167</v>
      </c>
      <c r="I83" t="s">
        <v>1325</v>
      </c>
      <c r="J83" t="e">
        <f>TRIM(#REF!)</f>
        <v>#REF!</v>
      </c>
      <c r="K83" t="e">
        <f>#REF!&amp;#REF!&amp;#REF!</f>
        <v>#REF!</v>
      </c>
      <c r="L83" t="str">
        <f>IFERROR(VLOOKUP(#REF!,工作表1!E:I,2,FALSE),"")</f>
        <v/>
      </c>
      <c r="M83" t="str">
        <f>IFERROR(VLOOKUP(#REF!,工作表1!E:I,3,FALSE),"")</f>
        <v/>
      </c>
      <c r="N83" t="str">
        <f>IFERROR(VLOOKUP(#REF!,工作表1!E:I,4,FALSE),"")</f>
        <v/>
      </c>
      <c r="O83" t="str">
        <f>IFERROR(VLOOKUP(#REF!,工作表1!E:I,5,FALSE),"")</f>
        <v/>
      </c>
      <c r="P83" t="s">
        <v>1326</v>
      </c>
      <c r="Q83" t="s">
        <v>529</v>
      </c>
      <c r="R83" t="s">
        <v>556</v>
      </c>
      <c r="T83" t="s">
        <v>1327</v>
      </c>
      <c r="U83" t="s">
        <v>476</v>
      </c>
      <c r="V83" t="s">
        <v>556</v>
      </c>
      <c r="X83" t="s">
        <v>1143</v>
      </c>
      <c r="Y83" t="s">
        <v>473</v>
      </c>
      <c r="Z83" t="s">
        <v>556</v>
      </c>
      <c r="AB83" t="s">
        <v>1069</v>
      </c>
      <c r="AC83" t="s">
        <v>473</v>
      </c>
      <c r="AD83" t="s">
        <v>556</v>
      </c>
      <c r="AF83" t="s">
        <v>1323</v>
      </c>
      <c r="AG83" t="s">
        <v>473</v>
      </c>
      <c r="AH83" t="s">
        <v>556</v>
      </c>
      <c r="AJ83" t="s">
        <v>179</v>
      </c>
      <c r="AK83" t="s">
        <v>517</v>
      </c>
      <c r="AL83" t="s">
        <v>617</v>
      </c>
      <c r="AM83" t="s">
        <v>797</v>
      </c>
      <c r="AN83" t="s">
        <v>171</v>
      </c>
      <c r="AO83" t="s">
        <v>511</v>
      </c>
      <c r="AP83" t="s">
        <v>741</v>
      </c>
      <c r="AQ83" t="s">
        <v>623</v>
      </c>
      <c r="AR83" t="s">
        <v>191</v>
      </c>
      <c r="AS83" t="s">
        <v>1039</v>
      </c>
      <c r="AT83" t="s">
        <v>904</v>
      </c>
      <c r="AU83" t="s">
        <v>190</v>
      </c>
      <c r="AV83" t="s">
        <v>593</v>
      </c>
      <c r="AW83" t="s">
        <v>1150</v>
      </c>
      <c r="AX83" t="s">
        <v>714</v>
      </c>
      <c r="AY83" t="s">
        <v>566</v>
      </c>
      <c r="AZ83" t="s">
        <v>489</v>
      </c>
      <c r="BA83" t="s">
        <v>904</v>
      </c>
      <c r="BB83" t="s">
        <v>518</v>
      </c>
      <c r="BC83" t="s">
        <v>557</v>
      </c>
      <c r="BD83">
        <v>1996</v>
      </c>
      <c r="BE83">
        <v>1618</v>
      </c>
      <c r="BF83">
        <v>1897</v>
      </c>
      <c r="BG83">
        <v>2399</v>
      </c>
      <c r="BH83">
        <v>1540</v>
      </c>
      <c r="BY83" t="s">
        <v>203</v>
      </c>
      <c r="BZ83" t="s">
        <v>629</v>
      </c>
      <c r="CA83" t="s">
        <v>529</v>
      </c>
      <c r="CB83" t="s">
        <v>524</v>
      </c>
      <c r="CC83" t="s">
        <v>630</v>
      </c>
      <c r="CD83" t="s">
        <v>529</v>
      </c>
      <c r="CE83" t="s">
        <v>588</v>
      </c>
      <c r="CF83" t="s">
        <v>522</v>
      </c>
      <c r="CG83" t="s">
        <v>474</v>
      </c>
      <c r="CH83" t="s">
        <v>215</v>
      </c>
      <c r="CI83" t="s">
        <v>623</v>
      </c>
      <c r="CJ83" t="s">
        <v>501</v>
      </c>
      <c r="CK83" t="s">
        <v>210</v>
      </c>
      <c r="CL83" t="s">
        <v>929</v>
      </c>
      <c r="CM83" t="s">
        <v>476</v>
      </c>
      <c r="CN83" t="s">
        <v>174</v>
      </c>
      <c r="CO83" t="s">
        <v>649</v>
      </c>
      <c r="CP83" t="s">
        <v>476</v>
      </c>
      <c r="CQ83" t="s">
        <v>203</v>
      </c>
      <c r="CR83" t="s">
        <v>211</v>
      </c>
      <c r="CS83" t="s">
        <v>170</v>
      </c>
      <c r="CT83" t="s">
        <v>177</v>
      </c>
      <c r="CU83" t="s">
        <v>486</v>
      </c>
      <c r="CV83" t="s">
        <v>170</v>
      </c>
      <c r="CW83" t="s">
        <v>523</v>
      </c>
      <c r="CX83" t="s">
        <v>202</v>
      </c>
      <c r="CY83" t="s">
        <v>170</v>
      </c>
      <c r="CZ83" t="s">
        <v>217</v>
      </c>
      <c r="DA83" t="s">
        <v>633</v>
      </c>
      <c r="DB83" t="s">
        <v>501</v>
      </c>
      <c r="DC83" t="s">
        <v>216</v>
      </c>
      <c r="DD83" t="s">
        <v>598</v>
      </c>
      <c r="DE83" t="s">
        <v>501</v>
      </c>
      <c r="DF83" t="s">
        <v>212</v>
      </c>
      <c r="DG83" t="s">
        <v>623</v>
      </c>
      <c r="DH83" t="s">
        <v>501</v>
      </c>
      <c r="DI83" t="s">
        <v>217</v>
      </c>
      <c r="DJ83" t="s">
        <v>721</v>
      </c>
      <c r="DK83" t="s">
        <v>473</v>
      </c>
      <c r="DL83" t="s">
        <v>216</v>
      </c>
      <c r="DM83" t="s">
        <v>522</v>
      </c>
      <c r="DN83" t="s">
        <v>529</v>
      </c>
      <c r="DO83" t="s">
        <v>209</v>
      </c>
      <c r="DP83" t="s">
        <v>486</v>
      </c>
      <c r="DQ83" t="s">
        <v>473</v>
      </c>
      <c r="DR83" t="s">
        <v>210</v>
      </c>
      <c r="DS83" t="s">
        <v>929</v>
      </c>
      <c r="DT83" t="s">
        <v>504</v>
      </c>
      <c r="DU83" t="s">
        <v>217</v>
      </c>
      <c r="DV83" t="s">
        <v>800</v>
      </c>
      <c r="DW83" t="s">
        <v>480</v>
      </c>
      <c r="DX83" t="s">
        <v>215</v>
      </c>
      <c r="DY83" t="s">
        <v>266</v>
      </c>
      <c r="DZ83" t="s">
        <v>501</v>
      </c>
      <c r="EA83" t="s">
        <v>177</v>
      </c>
      <c r="EB83" t="s">
        <v>630</v>
      </c>
      <c r="EC83" t="s">
        <v>173</v>
      </c>
      <c r="ED83" t="s">
        <v>207</v>
      </c>
      <c r="EE83" t="s">
        <v>598</v>
      </c>
      <c r="EF83" t="s">
        <v>529</v>
      </c>
      <c r="EG83" t="s">
        <v>210</v>
      </c>
      <c r="EH83" t="s">
        <v>263</v>
      </c>
      <c r="EI83" t="s">
        <v>173</v>
      </c>
      <c r="EJ83" t="s">
        <v>281</v>
      </c>
      <c r="EK83" t="s">
        <v>550</v>
      </c>
      <c r="EL83" t="s">
        <v>512</v>
      </c>
      <c r="EM83" t="s">
        <v>205</v>
      </c>
      <c r="EN83" t="s">
        <v>721</v>
      </c>
      <c r="EO83" t="s">
        <v>512</v>
      </c>
      <c r="EP83" t="s">
        <v>177</v>
      </c>
      <c r="EQ83" t="s">
        <v>208</v>
      </c>
      <c r="ER83" t="s">
        <v>512</v>
      </c>
      <c r="EV83" t="s">
        <v>604</v>
      </c>
      <c r="EW83" t="s">
        <v>604</v>
      </c>
      <c r="EX83" t="s">
        <v>604</v>
      </c>
      <c r="FH83" t="s">
        <v>1328</v>
      </c>
    </row>
    <row r="84" spans="1:164" x14ac:dyDescent="0.25">
      <c r="A84">
        <v>4</v>
      </c>
      <c r="B84" t="s">
        <v>164</v>
      </c>
      <c r="C84">
        <v>46</v>
      </c>
      <c r="D84">
        <v>4601</v>
      </c>
      <c r="E84">
        <v>974738244</v>
      </c>
      <c r="F84" t="s">
        <v>165</v>
      </c>
      <c r="G84" t="s">
        <v>166</v>
      </c>
      <c r="H84" t="s">
        <v>167</v>
      </c>
      <c r="I84" t="s">
        <v>1329</v>
      </c>
      <c r="J84" t="e">
        <f>TRIM(#REF!)</f>
        <v>#REF!</v>
      </c>
      <c r="K84" t="e">
        <f>#REF!&amp;#REF!&amp;#REF!</f>
        <v>#REF!</v>
      </c>
      <c r="L84" t="str">
        <f>IFERROR(VLOOKUP(#REF!,工作表1!E:I,2,FALSE),"")</f>
        <v/>
      </c>
      <c r="M84" t="str">
        <f>IFERROR(VLOOKUP(#REF!,工作表1!E:I,3,FALSE),"")</f>
        <v/>
      </c>
      <c r="N84" t="str">
        <f>IFERROR(VLOOKUP(#REF!,工作表1!E:I,4,FALSE),"")</f>
        <v/>
      </c>
      <c r="O84" t="str">
        <f>IFERROR(VLOOKUP(#REF!,工作表1!E:I,5,FALSE),"")</f>
        <v/>
      </c>
      <c r="P84" t="s">
        <v>919</v>
      </c>
      <c r="Q84" t="s">
        <v>529</v>
      </c>
      <c r="R84" t="s">
        <v>173</v>
      </c>
      <c r="T84" t="s">
        <v>1330</v>
      </c>
      <c r="U84" t="s">
        <v>170</v>
      </c>
      <c r="V84" t="s">
        <v>476</v>
      </c>
      <c r="X84" t="s">
        <v>472</v>
      </c>
      <c r="Y84" t="s">
        <v>474</v>
      </c>
      <c r="Z84" t="s">
        <v>529</v>
      </c>
      <c r="AB84" t="s">
        <v>1331</v>
      </c>
      <c r="AC84" t="s">
        <v>501</v>
      </c>
      <c r="AD84" t="s">
        <v>519</v>
      </c>
      <c r="AF84" t="s">
        <v>1332</v>
      </c>
      <c r="AG84" t="s">
        <v>473</v>
      </c>
      <c r="AH84" t="s">
        <v>476</v>
      </c>
      <c r="AJ84" t="s">
        <v>187</v>
      </c>
      <c r="AK84" t="s">
        <v>1333</v>
      </c>
      <c r="AL84" t="s">
        <v>928</v>
      </c>
      <c r="AM84" t="s">
        <v>629</v>
      </c>
      <c r="AN84" t="s">
        <v>176</v>
      </c>
      <c r="AO84" t="s">
        <v>482</v>
      </c>
      <c r="AP84" t="s">
        <v>189</v>
      </c>
      <c r="AQ84" t="s">
        <v>186</v>
      </c>
      <c r="AR84" t="s">
        <v>612</v>
      </c>
      <c r="AS84" t="s">
        <v>484</v>
      </c>
      <c r="AT84" t="s">
        <v>1334</v>
      </c>
      <c r="AU84" t="s">
        <v>629</v>
      </c>
      <c r="AV84" t="s">
        <v>179</v>
      </c>
      <c r="AW84" t="s">
        <v>927</v>
      </c>
      <c r="AX84" t="s">
        <v>796</v>
      </c>
      <c r="AY84" t="s">
        <v>623</v>
      </c>
      <c r="AZ84" t="s">
        <v>179</v>
      </c>
      <c r="BA84" t="s">
        <v>783</v>
      </c>
      <c r="BB84" t="s">
        <v>913</v>
      </c>
      <c r="BC84" t="s">
        <v>190</v>
      </c>
      <c r="BD84">
        <v>1613</v>
      </c>
      <c r="BE84">
        <v>1642</v>
      </c>
      <c r="BF84">
        <v>1669</v>
      </c>
      <c r="BG84">
        <v>1563</v>
      </c>
      <c r="BH84">
        <v>1515</v>
      </c>
      <c r="BY84" t="s">
        <v>281</v>
      </c>
      <c r="BZ84" t="s">
        <v>557</v>
      </c>
      <c r="CA84" t="s">
        <v>174</v>
      </c>
      <c r="CB84" t="s">
        <v>201</v>
      </c>
      <c r="CC84" t="s">
        <v>497</v>
      </c>
      <c r="CD84" t="s">
        <v>281</v>
      </c>
      <c r="CE84" t="s">
        <v>174</v>
      </c>
      <c r="CF84" t="s">
        <v>301</v>
      </c>
      <c r="CG84" t="s">
        <v>174</v>
      </c>
      <c r="CH84" t="s">
        <v>210</v>
      </c>
      <c r="CI84" t="s">
        <v>211</v>
      </c>
      <c r="CJ84" t="s">
        <v>177</v>
      </c>
      <c r="CK84" t="s">
        <v>216</v>
      </c>
      <c r="CL84" t="s">
        <v>213</v>
      </c>
      <c r="CM84" t="s">
        <v>215</v>
      </c>
      <c r="CN84" t="s">
        <v>177</v>
      </c>
      <c r="CO84" t="s">
        <v>204</v>
      </c>
      <c r="CP84" t="s">
        <v>216</v>
      </c>
      <c r="CQ84" t="s">
        <v>201</v>
      </c>
      <c r="CR84" t="s">
        <v>494</v>
      </c>
      <c r="CS84" t="s">
        <v>281</v>
      </c>
      <c r="CT84" t="s">
        <v>174</v>
      </c>
      <c r="CU84" t="s">
        <v>213</v>
      </c>
      <c r="CV84" t="s">
        <v>281</v>
      </c>
      <c r="CW84" t="s">
        <v>496</v>
      </c>
      <c r="CX84" t="s">
        <v>211</v>
      </c>
      <c r="CY84" t="s">
        <v>281</v>
      </c>
      <c r="CZ84" t="s">
        <v>177</v>
      </c>
      <c r="DA84" t="s">
        <v>211</v>
      </c>
      <c r="DB84" t="s">
        <v>523</v>
      </c>
      <c r="DC84" t="s">
        <v>174</v>
      </c>
      <c r="DD84" t="s">
        <v>204</v>
      </c>
      <c r="DE84" t="s">
        <v>523</v>
      </c>
      <c r="DF84" t="s">
        <v>281</v>
      </c>
      <c r="DG84" t="s">
        <v>213</v>
      </c>
      <c r="DH84" t="s">
        <v>524</v>
      </c>
      <c r="FH84" t="s">
        <v>1335</v>
      </c>
    </row>
    <row r="85" spans="1:164" x14ac:dyDescent="0.25">
      <c r="A85">
        <v>4</v>
      </c>
      <c r="B85" t="s">
        <v>164</v>
      </c>
      <c r="C85">
        <v>46</v>
      </c>
      <c r="D85">
        <v>4601</v>
      </c>
      <c r="E85">
        <v>974737981</v>
      </c>
      <c r="F85" t="s">
        <v>165</v>
      </c>
      <c r="G85" t="s">
        <v>166</v>
      </c>
      <c r="H85" t="s">
        <v>167</v>
      </c>
      <c r="I85" t="s">
        <v>1336</v>
      </c>
      <c r="J85" t="e">
        <f>TRIM(#REF!)</f>
        <v>#REF!</v>
      </c>
      <c r="K85" t="e">
        <f>#REF!&amp;#REF!&amp;#REF!</f>
        <v>#REF!</v>
      </c>
      <c r="L85" t="str">
        <f>IFERROR(VLOOKUP(#REF!,工作表1!E:I,2,FALSE),"")</f>
        <v/>
      </c>
      <c r="M85" t="str">
        <f>IFERROR(VLOOKUP(#REF!,工作表1!E:I,3,FALSE),"")</f>
        <v/>
      </c>
      <c r="N85" t="str">
        <f>IFERROR(VLOOKUP(#REF!,工作表1!E:I,4,FALSE),"")</f>
        <v/>
      </c>
      <c r="O85" t="str">
        <f>IFERROR(VLOOKUP(#REF!,工作表1!E:I,5,FALSE),"")</f>
        <v/>
      </c>
      <c r="P85" t="s">
        <v>792</v>
      </c>
      <c r="Q85" t="s">
        <v>530</v>
      </c>
      <c r="R85" t="s">
        <v>604</v>
      </c>
      <c r="T85" t="s">
        <v>1047</v>
      </c>
      <c r="U85" t="s">
        <v>481</v>
      </c>
      <c r="V85" t="s">
        <v>604</v>
      </c>
      <c r="X85" t="s">
        <v>1047</v>
      </c>
      <c r="Y85" t="s">
        <v>655</v>
      </c>
      <c r="Z85" t="s">
        <v>604</v>
      </c>
      <c r="AB85" t="s">
        <v>1337</v>
      </c>
      <c r="AC85" t="s">
        <v>504</v>
      </c>
      <c r="AD85" t="s">
        <v>655</v>
      </c>
      <c r="AF85" t="s">
        <v>1338</v>
      </c>
      <c r="AG85" t="s">
        <v>580</v>
      </c>
      <c r="AH85" t="s">
        <v>504</v>
      </c>
      <c r="AJ85" t="s">
        <v>529</v>
      </c>
      <c r="AK85" t="s">
        <v>668</v>
      </c>
      <c r="AL85" t="s">
        <v>711</v>
      </c>
      <c r="AM85" t="s">
        <v>560</v>
      </c>
      <c r="AN85" t="s">
        <v>173</v>
      </c>
      <c r="AO85" t="s">
        <v>1167</v>
      </c>
      <c r="AP85" t="s">
        <v>711</v>
      </c>
      <c r="AQ85" t="s">
        <v>301</v>
      </c>
      <c r="AR85" t="s">
        <v>529</v>
      </c>
      <c r="AS85" t="s">
        <v>1339</v>
      </c>
      <c r="AT85" t="s">
        <v>1012</v>
      </c>
      <c r="AU85" t="s">
        <v>214</v>
      </c>
      <c r="AV85" t="s">
        <v>173</v>
      </c>
      <c r="AW85" t="s">
        <v>1339</v>
      </c>
      <c r="AX85" t="s">
        <v>809</v>
      </c>
      <c r="AY85" t="s">
        <v>598</v>
      </c>
      <c r="AZ85" t="s">
        <v>474</v>
      </c>
      <c r="BA85" t="s">
        <v>672</v>
      </c>
      <c r="BB85" t="s">
        <v>899</v>
      </c>
      <c r="BC85" t="s">
        <v>266</v>
      </c>
      <c r="BD85">
        <v>1592</v>
      </c>
      <c r="BE85">
        <v>1486</v>
      </c>
      <c r="BF85">
        <v>1542</v>
      </c>
      <c r="BG85">
        <v>1594</v>
      </c>
      <c r="BH85">
        <v>1621</v>
      </c>
      <c r="BY85" t="s">
        <v>281</v>
      </c>
      <c r="BZ85" t="s">
        <v>202</v>
      </c>
      <c r="CA85" t="s">
        <v>179</v>
      </c>
      <c r="CB85" t="s">
        <v>201</v>
      </c>
      <c r="CC85" t="s">
        <v>206</v>
      </c>
      <c r="CD85" t="s">
        <v>179</v>
      </c>
      <c r="CE85" t="s">
        <v>174</v>
      </c>
      <c r="CF85" t="s">
        <v>211</v>
      </c>
      <c r="CG85" t="s">
        <v>179</v>
      </c>
      <c r="CH85" t="s">
        <v>174</v>
      </c>
      <c r="CI85" t="s">
        <v>198</v>
      </c>
      <c r="CJ85" t="s">
        <v>588</v>
      </c>
      <c r="CK85" t="s">
        <v>216</v>
      </c>
      <c r="CL85" t="s">
        <v>630</v>
      </c>
      <c r="CM85" t="s">
        <v>171</v>
      </c>
      <c r="CN85" t="s">
        <v>177</v>
      </c>
      <c r="CO85" t="s">
        <v>486</v>
      </c>
      <c r="CP85" t="s">
        <v>588</v>
      </c>
      <c r="CQ85" t="s">
        <v>281</v>
      </c>
      <c r="CR85" t="s">
        <v>208</v>
      </c>
      <c r="CS85" t="s">
        <v>593</v>
      </c>
      <c r="CT85" t="s">
        <v>177</v>
      </c>
      <c r="CU85" t="s">
        <v>522</v>
      </c>
      <c r="CV85" t="s">
        <v>191</v>
      </c>
      <c r="CW85" t="s">
        <v>177</v>
      </c>
      <c r="CX85" t="s">
        <v>522</v>
      </c>
      <c r="CY85" t="s">
        <v>191</v>
      </c>
      <c r="CZ85" t="s">
        <v>174</v>
      </c>
      <c r="DA85" t="s">
        <v>557</v>
      </c>
      <c r="DB85" t="s">
        <v>191</v>
      </c>
      <c r="DC85" t="s">
        <v>207</v>
      </c>
      <c r="DD85" t="s">
        <v>598</v>
      </c>
      <c r="DE85" t="s">
        <v>191</v>
      </c>
      <c r="DF85" t="s">
        <v>210</v>
      </c>
      <c r="DG85" t="s">
        <v>629</v>
      </c>
      <c r="DH85" t="s">
        <v>171</v>
      </c>
      <c r="FH85" t="s">
        <v>1340</v>
      </c>
    </row>
    <row r="86" spans="1:164" x14ac:dyDescent="0.25">
      <c r="A86">
        <v>4</v>
      </c>
      <c r="B86" t="s">
        <v>164</v>
      </c>
      <c r="C86">
        <v>46</v>
      </c>
      <c r="D86">
        <v>4601</v>
      </c>
      <c r="E86">
        <v>974738058</v>
      </c>
      <c r="F86" t="s">
        <v>165</v>
      </c>
      <c r="G86" t="s">
        <v>166</v>
      </c>
      <c r="H86" t="s">
        <v>167</v>
      </c>
      <c r="I86" t="s">
        <v>1341</v>
      </c>
      <c r="J86" t="e">
        <f>TRIM(#REF!)</f>
        <v>#REF!</v>
      </c>
      <c r="K86" t="e">
        <f>#REF!&amp;#REF!&amp;#REF!</f>
        <v>#REF!</v>
      </c>
      <c r="L86" t="str">
        <f>IFERROR(VLOOKUP(#REF!,工作表1!E:I,2,FALSE),"")</f>
        <v/>
      </c>
      <c r="M86" t="str">
        <f>IFERROR(VLOOKUP(#REF!,工作表1!E:I,3,FALSE),"")</f>
        <v/>
      </c>
      <c r="N86" t="str">
        <f>IFERROR(VLOOKUP(#REF!,工作表1!E:I,4,FALSE),"")</f>
        <v/>
      </c>
      <c r="O86" t="str">
        <f>IFERROR(VLOOKUP(#REF!,工作表1!E:I,5,FALSE),"")</f>
        <v/>
      </c>
      <c r="P86" t="s">
        <v>686</v>
      </c>
      <c r="Q86" t="s">
        <v>530</v>
      </c>
      <c r="R86" t="s">
        <v>508</v>
      </c>
      <c r="T86" t="s">
        <v>568</v>
      </c>
      <c r="U86" t="s">
        <v>502</v>
      </c>
      <c r="V86" t="s">
        <v>604</v>
      </c>
      <c r="X86" t="s">
        <v>967</v>
      </c>
      <c r="Y86" t="s">
        <v>530</v>
      </c>
      <c r="Z86" t="s">
        <v>508</v>
      </c>
      <c r="AB86" t="s">
        <v>639</v>
      </c>
      <c r="AC86" t="s">
        <v>481</v>
      </c>
      <c r="AD86" t="s">
        <v>655</v>
      </c>
      <c r="AF86" t="s">
        <v>685</v>
      </c>
      <c r="AG86" t="s">
        <v>655</v>
      </c>
      <c r="AH86" t="s">
        <v>604</v>
      </c>
      <c r="AJ86" t="s">
        <v>502</v>
      </c>
      <c r="AK86" t="s">
        <v>1342</v>
      </c>
      <c r="AL86" t="s">
        <v>1343</v>
      </c>
      <c r="AM86" t="s">
        <v>562</v>
      </c>
      <c r="AN86" t="s">
        <v>502</v>
      </c>
      <c r="AO86" t="s">
        <v>1091</v>
      </c>
      <c r="AP86" t="s">
        <v>1343</v>
      </c>
      <c r="AQ86" t="s">
        <v>642</v>
      </c>
      <c r="AR86" t="s">
        <v>502</v>
      </c>
      <c r="AS86" t="s">
        <v>1344</v>
      </c>
      <c r="AT86" t="s">
        <v>1345</v>
      </c>
      <c r="AU86" t="s">
        <v>712</v>
      </c>
      <c r="AV86" t="s">
        <v>502</v>
      </c>
      <c r="AW86" t="s">
        <v>607</v>
      </c>
      <c r="AX86" t="s">
        <v>1345</v>
      </c>
      <c r="AY86" t="s">
        <v>712</v>
      </c>
      <c r="AZ86" t="s">
        <v>502</v>
      </c>
      <c r="BA86" t="s">
        <v>1346</v>
      </c>
      <c r="BB86" t="s">
        <v>1228</v>
      </c>
      <c r="BC86" t="s">
        <v>558</v>
      </c>
      <c r="BD86">
        <v>1139</v>
      </c>
      <c r="BE86">
        <v>1359</v>
      </c>
      <c r="BF86">
        <v>1412</v>
      </c>
      <c r="BG86">
        <v>1335</v>
      </c>
      <c r="BH86">
        <v>1384</v>
      </c>
      <c r="BY86" t="s">
        <v>281</v>
      </c>
      <c r="BZ86" t="s">
        <v>797</v>
      </c>
      <c r="CA86" t="s">
        <v>581</v>
      </c>
      <c r="CB86" t="s">
        <v>216</v>
      </c>
      <c r="CC86" t="s">
        <v>266</v>
      </c>
      <c r="CD86" t="s">
        <v>581</v>
      </c>
      <c r="CG86" t="s">
        <v>556</v>
      </c>
      <c r="CH86" t="s">
        <v>604</v>
      </c>
      <c r="CI86" t="s">
        <v>604</v>
      </c>
      <c r="CJ86" t="s">
        <v>604</v>
      </c>
      <c r="CK86" t="s">
        <v>604</v>
      </c>
      <c r="CL86" t="s">
        <v>604</v>
      </c>
      <c r="CM86" t="s">
        <v>604</v>
      </c>
      <c r="CN86" t="s">
        <v>604</v>
      </c>
      <c r="CO86" t="s">
        <v>604</v>
      </c>
      <c r="CP86" t="s">
        <v>604</v>
      </c>
      <c r="CQ86" t="s">
        <v>207</v>
      </c>
      <c r="CR86" t="s">
        <v>825</v>
      </c>
      <c r="CS86" t="s">
        <v>505</v>
      </c>
      <c r="CT86" t="s">
        <v>604</v>
      </c>
      <c r="CU86" t="s">
        <v>604</v>
      </c>
      <c r="CV86" t="s">
        <v>604</v>
      </c>
      <c r="CW86" t="s">
        <v>174</v>
      </c>
      <c r="CX86" t="s">
        <v>1347</v>
      </c>
      <c r="CY86" t="s">
        <v>505</v>
      </c>
      <c r="CZ86" t="s">
        <v>604</v>
      </c>
      <c r="DA86" t="s">
        <v>604</v>
      </c>
      <c r="DB86" t="s">
        <v>604</v>
      </c>
      <c r="DC86" t="s">
        <v>604</v>
      </c>
      <c r="DD86" t="s">
        <v>604</v>
      </c>
      <c r="DE86" t="s">
        <v>604</v>
      </c>
      <c r="DF86" t="s">
        <v>604</v>
      </c>
      <c r="DG86" t="s">
        <v>604</v>
      </c>
      <c r="DH86" t="s">
        <v>604</v>
      </c>
      <c r="FH86" t="s">
        <v>1348</v>
      </c>
    </row>
    <row r="87" spans="1:164" x14ac:dyDescent="0.25">
      <c r="A87">
        <v>4</v>
      </c>
      <c r="B87" t="s">
        <v>164</v>
      </c>
      <c r="C87">
        <v>46</v>
      </c>
      <c r="D87">
        <v>4601</v>
      </c>
      <c r="E87">
        <v>974737833</v>
      </c>
      <c r="F87" t="s">
        <v>165</v>
      </c>
      <c r="G87" t="s">
        <v>166</v>
      </c>
      <c r="H87" t="s">
        <v>167</v>
      </c>
      <c r="I87" t="s">
        <v>1349</v>
      </c>
      <c r="J87" t="e">
        <f>TRIM(#REF!)</f>
        <v>#REF!</v>
      </c>
      <c r="K87" t="e">
        <f>#REF!&amp;#REF!&amp;#REF!</f>
        <v>#REF!</v>
      </c>
      <c r="L87" t="str">
        <f>IFERROR(VLOOKUP(#REF!,工作表1!E:I,2,FALSE),"")</f>
        <v/>
      </c>
      <c r="M87" t="str">
        <f>IFERROR(VLOOKUP(#REF!,工作表1!E:I,3,FALSE),"")</f>
        <v/>
      </c>
      <c r="N87" t="str">
        <f>IFERROR(VLOOKUP(#REF!,工作表1!E:I,4,FALSE),"")</f>
        <v/>
      </c>
      <c r="O87" t="str">
        <f>IFERROR(VLOOKUP(#REF!,工作表1!E:I,5,FALSE),"")</f>
        <v/>
      </c>
      <c r="P87" t="s">
        <v>1054</v>
      </c>
      <c r="Q87" t="s">
        <v>1027</v>
      </c>
      <c r="R87" t="s">
        <v>604</v>
      </c>
      <c r="T87" t="s">
        <v>587</v>
      </c>
      <c r="U87" t="s">
        <v>734</v>
      </c>
      <c r="V87" t="s">
        <v>604</v>
      </c>
      <c r="X87" t="s">
        <v>780</v>
      </c>
      <c r="Y87" t="s">
        <v>582</v>
      </c>
      <c r="Z87" t="s">
        <v>556</v>
      </c>
      <c r="AB87" t="s">
        <v>697</v>
      </c>
      <c r="AC87" t="s">
        <v>726</v>
      </c>
      <c r="AD87" t="s">
        <v>604</v>
      </c>
      <c r="AF87" t="s">
        <v>1350</v>
      </c>
      <c r="AG87" t="s">
        <v>584</v>
      </c>
      <c r="AH87" t="s">
        <v>604</v>
      </c>
      <c r="AJ87" t="s">
        <v>183</v>
      </c>
      <c r="AK87" t="s">
        <v>1351</v>
      </c>
      <c r="AL87" t="s">
        <v>540</v>
      </c>
      <c r="AM87" t="s">
        <v>1352</v>
      </c>
      <c r="AN87" t="s">
        <v>281</v>
      </c>
      <c r="AO87" t="s">
        <v>1184</v>
      </c>
      <c r="AP87" t="s">
        <v>543</v>
      </c>
      <c r="AQ87" t="s">
        <v>1346</v>
      </c>
      <c r="AR87" t="s">
        <v>201</v>
      </c>
      <c r="AS87" t="s">
        <v>1353</v>
      </c>
      <c r="AT87" t="s">
        <v>810</v>
      </c>
      <c r="AU87" t="s">
        <v>1346</v>
      </c>
      <c r="AV87" t="s">
        <v>201</v>
      </c>
      <c r="AW87" t="s">
        <v>1354</v>
      </c>
      <c r="AX87" t="s">
        <v>875</v>
      </c>
      <c r="AY87" t="s">
        <v>984</v>
      </c>
      <c r="AZ87" t="s">
        <v>281</v>
      </c>
      <c r="BA87" t="s">
        <v>1355</v>
      </c>
      <c r="BB87" t="s">
        <v>1036</v>
      </c>
      <c r="BC87" t="s">
        <v>807</v>
      </c>
      <c r="BD87">
        <v>1989</v>
      </c>
      <c r="BE87">
        <v>1903</v>
      </c>
      <c r="BF87">
        <v>1790</v>
      </c>
      <c r="BG87">
        <v>1914</v>
      </c>
      <c r="BH87">
        <v>1778</v>
      </c>
      <c r="BI87" t="s">
        <v>349</v>
      </c>
      <c r="BJ87" t="s">
        <v>350</v>
      </c>
      <c r="BK87" t="s">
        <v>550</v>
      </c>
      <c r="BL87" t="s">
        <v>533</v>
      </c>
      <c r="BM87" t="s">
        <v>351</v>
      </c>
      <c r="BN87" t="s">
        <v>512</v>
      </c>
      <c r="BO87" t="s">
        <v>550</v>
      </c>
      <c r="BP87" t="s">
        <v>588</v>
      </c>
      <c r="BQ87" t="s">
        <v>266</v>
      </c>
      <c r="BR87" t="s">
        <v>176</v>
      </c>
      <c r="BS87" t="s">
        <v>880</v>
      </c>
      <c r="BT87" t="s">
        <v>1356</v>
      </c>
      <c r="BU87" t="s">
        <v>1137</v>
      </c>
      <c r="BV87" t="s">
        <v>975</v>
      </c>
      <c r="BW87" t="s">
        <v>1357</v>
      </c>
      <c r="BX87" t="s">
        <v>1186</v>
      </c>
      <c r="DI87" t="s">
        <v>210</v>
      </c>
      <c r="DJ87" t="s">
        <v>644</v>
      </c>
      <c r="DK87" t="s">
        <v>685</v>
      </c>
      <c r="DL87" t="s">
        <v>216</v>
      </c>
      <c r="DM87" t="s">
        <v>558</v>
      </c>
      <c r="DN87" t="s">
        <v>819</v>
      </c>
      <c r="DO87" t="s">
        <v>216</v>
      </c>
      <c r="DP87" t="s">
        <v>558</v>
      </c>
      <c r="DQ87" t="s">
        <v>951</v>
      </c>
      <c r="DR87" t="s">
        <v>207</v>
      </c>
      <c r="DS87" t="s">
        <v>560</v>
      </c>
      <c r="DT87" t="s">
        <v>569</v>
      </c>
      <c r="DU87" t="s">
        <v>210</v>
      </c>
      <c r="DV87" t="s">
        <v>560</v>
      </c>
      <c r="DW87" t="s">
        <v>567</v>
      </c>
      <c r="DX87" t="s">
        <v>216</v>
      </c>
      <c r="DY87" t="s">
        <v>566</v>
      </c>
      <c r="DZ87" t="s">
        <v>569</v>
      </c>
      <c r="EA87" t="s">
        <v>207</v>
      </c>
      <c r="EB87" t="s">
        <v>560</v>
      </c>
      <c r="EC87" t="s">
        <v>1186</v>
      </c>
      <c r="ED87" t="s">
        <v>210</v>
      </c>
      <c r="EE87" t="s">
        <v>560</v>
      </c>
      <c r="EF87" t="s">
        <v>1287</v>
      </c>
      <c r="EG87" t="s">
        <v>216</v>
      </c>
      <c r="EH87" t="s">
        <v>562</v>
      </c>
      <c r="EI87" t="s">
        <v>1287</v>
      </c>
      <c r="EJ87" t="s">
        <v>174</v>
      </c>
      <c r="EK87" t="s">
        <v>560</v>
      </c>
      <c r="EL87" t="s">
        <v>1358</v>
      </c>
      <c r="EM87" t="s">
        <v>210</v>
      </c>
      <c r="EN87" t="s">
        <v>560</v>
      </c>
      <c r="EO87" t="s">
        <v>1358</v>
      </c>
      <c r="EP87" t="s">
        <v>177</v>
      </c>
      <c r="EQ87" t="s">
        <v>560</v>
      </c>
      <c r="ER87" t="s">
        <v>1358</v>
      </c>
      <c r="ES87" t="s">
        <v>301</v>
      </c>
      <c r="ET87" t="s">
        <v>301</v>
      </c>
      <c r="EU87" t="s">
        <v>559</v>
      </c>
      <c r="EV87" t="s">
        <v>305</v>
      </c>
      <c r="EW87" t="s">
        <v>301</v>
      </c>
      <c r="EX87" t="s">
        <v>548</v>
      </c>
      <c r="EY87">
        <v>95</v>
      </c>
      <c r="EZ87">
        <v>40</v>
      </c>
      <c r="FA87" t="s">
        <v>559</v>
      </c>
      <c r="FB87" t="s">
        <v>605</v>
      </c>
      <c r="FC87" t="s">
        <v>306</v>
      </c>
      <c r="FD87" t="s">
        <v>1003</v>
      </c>
      <c r="FE87">
        <v>100</v>
      </c>
      <c r="FF87">
        <v>50</v>
      </c>
      <c r="FG87" t="s">
        <v>1005</v>
      </c>
      <c r="FH87" t="s">
        <v>1359</v>
      </c>
    </row>
    <row r="88" spans="1:164" x14ac:dyDescent="0.25">
      <c r="A88">
        <v>4</v>
      </c>
      <c r="B88" t="s">
        <v>164</v>
      </c>
      <c r="C88">
        <v>46</v>
      </c>
      <c r="D88">
        <v>4601</v>
      </c>
      <c r="E88">
        <v>974737833</v>
      </c>
      <c r="F88" t="s">
        <v>165</v>
      </c>
      <c r="G88" t="s">
        <v>166</v>
      </c>
      <c r="H88" t="s">
        <v>167</v>
      </c>
      <c r="I88" t="s">
        <v>1349</v>
      </c>
      <c r="J88" t="e">
        <f>TRIM(#REF!)</f>
        <v>#REF!</v>
      </c>
      <c r="K88" t="e">
        <f>#REF!&amp;#REF!&amp;#REF!</f>
        <v>#REF!</v>
      </c>
      <c r="L88" t="str">
        <f>IFERROR(VLOOKUP(#REF!,工作表1!E:I,2,FALSE),"")</f>
        <v/>
      </c>
      <c r="M88" t="str">
        <f>IFERROR(VLOOKUP(#REF!,工作表1!E:I,3,FALSE),"")</f>
        <v/>
      </c>
      <c r="N88" t="str">
        <f>IFERROR(VLOOKUP(#REF!,工作表1!E:I,4,FALSE),"")</f>
        <v/>
      </c>
      <c r="O88" t="str">
        <f>IFERROR(VLOOKUP(#REF!,工作表1!E:I,5,FALSE),"")</f>
        <v/>
      </c>
      <c r="P88" t="s">
        <v>1054</v>
      </c>
      <c r="Q88" t="s">
        <v>1027</v>
      </c>
      <c r="R88" t="s">
        <v>604</v>
      </c>
      <c r="T88" t="s">
        <v>587</v>
      </c>
      <c r="U88" t="s">
        <v>734</v>
      </c>
      <c r="V88" t="s">
        <v>604</v>
      </c>
      <c r="X88" t="s">
        <v>780</v>
      </c>
      <c r="Y88" t="s">
        <v>582</v>
      </c>
      <c r="Z88" t="s">
        <v>556</v>
      </c>
      <c r="AB88" t="s">
        <v>697</v>
      </c>
      <c r="AC88" t="s">
        <v>726</v>
      </c>
      <c r="AD88" t="s">
        <v>604</v>
      </c>
      <c r="AF88" t="s">
        <v>1350</v>
      </c>
      <c r="AG88" t="s">
        <v>584</v>
      </c>
      <c r="AH88" t="s">
        <v>604</v>
      </c>
      <c r="AJ88" t="s">
        <v>183</v>
      </c>
      <c r="AK88" t="s">
        <v>1351</v>
      </c>
      <c r="AL88" t="s">
        <v>540</v>
      </c>
      <c r="AM88" t="s">
        <v>1352</v>
      </c>
      <c r="AN88" t="s">
        <v>281</v>
      </c>
      <c r="AO88" t="s">
        <v>1184</v>
      </c>
      <c r="AP88" t="s">
        <v>543</v>
      </c>
      <c r="AQ88" t="s">
        <v>1346</v>
      </c>
      <c r="AR88" t="s">
        <v>201</v>
      </c>
      <c r="AS88" t="s">
        <v>1353</v>
      </c>
      <c r="AT88" t="s">
        <v>810</v>
      </c>
      <c r="AU88" t="s">
        <v>1346</v>
      </c>
      <c r="AV88" t="s">
        <v>201</v>
      </c>
      <c r="AW88" t="s">
        <v>1354</v>
      </c>
      <c r="AX88" t="s">
        <v>875</v>
      </c>
      <c r="AY88" t="s">
        <v>984</v>
      </c>
      <c r="AZ88" t="s">
        <v>281</v>
      </c>
      <c r="BA88" t="s">
        <v>1355</v>
      </c>
      <c r="BB88" t="s">
        <v>1036</v>
      </c>
      <c r="BC88" t="s">
        <v>807</v>
      </c>
      <c r="BD88">
        <v>1989</v>
      </c>
      <c r="BE88">
        <v>1903</v>
      </c>
      <c r="BF88">
        <v>1790</v>
      </c>
      <c r="BG88">
        <v>1914</v>
      </c>
      <c r="BH88">
        <v>1778</v>
      </c>
      <c r="BI88" t="s">
        <v>261</v>
      </c>
      <c r="BJ88" t="s">
        <v>262</v>
      </c>
      <c r="BK88" t="s">
        <v>550</v>
      </c>
      <c r="BL88" t="s">
        <v>861</v>
      </c>
      <c r="BM88" t="s">
        <v>263</v>
      </c>
      <c r="BN88" t="s">
        <v>1222</v>
      </c>
      <c r="BO88" t="s">
        <v>263</v>
      </c>
      <c r="BP88" t="s">
        <v>1287</v>
      </c>
      <c r="BQ88" t="s">
        <v>550</v>
      </c>
      <c r="BR88" t="s">
        <v>680</v>
      </c>
      <c r="BS88" t="s">
        <v>880</v>
      </c>
      <c r="BT88" t="s">
        <v>1356</v>
      </c>
      <c r="BU88" t="s">
        <v>1137</v>
      </c>
      <c r="BV88" t="s">
        <v>975</v>
      </c>
      <c r="BW88" t="s">
        <v>1357</v>
      </c>
      <c r="BX88" t="s">
        <v>1186</v>
      </c>
      <c r="DI88" t="s">
        <v>210</v>
      </c>
      <c r="DJ88" t="s">
        <v>644</v>
      </c>
      <c r="DK88" t="s">
        <v>685</v>
      </c>
      <c r="DL88" t="s">
        <v>216</v>
      </c>
      <c r="DM88" t="s">
        <v>558</v>
      </c>
      <c r="DN88" t="s">
        <v>819</v>
      </c>
      <c r="DO88" t="s">
        <v>216</v>
      </c>
      <c r="DP88" t="s">
        <v>558</v>
      </c>
      <c r="DQ88" t="s">
        <v>951</v>
      </c>
      <c r="DR88" t="s">
        <v>207</v>
      </c>
      <c r="DS88" t="s">
        <v>560</v>
      </c>
      <c r="DT88" t="s">
        <v>569</v>
      </c>
      <c r="DU88" t="s">
        <v>210</v>
      </c>
      <c r="DV88" t="s">
        <v>560</v>
      </c>
      <c r="DW88" t="s">
        <v>567</v>
      </c>
      <c r="DX88" t="s">
        <v>216</v>
      </c>
      <c r="DY88" t="s">
        <v>566</v>
      </c>
      <c r="DZ88" t="s">
        <v>569</v>
      </c>
      <c r="EA88" t="s">
        <v>207</v>
      </c>
      <c r="EB88" t="s">
        <v>560</v>
      </c>
      <c r="EC88" t="s">
        <v>1186</v>
      </c>
      <c r="ED88" t="s">
        <v>210</v>
      </c>
      <c r="EE88" t="s">
        <v>560</v>
      </c>
      <c r="EF88" t="s">
        <v>1287</v>
      </c>
      <c r="EG88" t="s">
        <v>216</v>
      </c>
      <c r="EH88" t="s">
        <v>562</v>
      </c>
      <c r="EI88" t="s">
        <v>1287</v>
      </c>
      <c r="EJ88" t="s">
        <v>174</v>
      </c>
      <c r="EK88" t="s">
        <v>560</v>
      </c>
      <c r="EL88" t="s">
        <v>1358</v>
      </c>
      <c r="EM88" t="s">
        <v>210</v>
      </c>
      <c r="EN88" t="s">
        <v>560</v>
      </c>
      <c r="EO88" t="s">
        <v>1358</v>
      </c>
      <c r="EP88" t="s">
        <v>177</v>
      </c>
      <c r="EQ88" t="s">
        <v>560</v>
      </c>
      <c r="ER88" t="s">
        <v>1358</v>
      </c>
      <c r="ES88" t="s">
        <v>301</v>
      </c>
      <c r="ET88" t="s">
        <v>301</v>
      </c>
      <c r="EU88" t="s">
        <v>559</v>
      </c>
      <c r="EV88" t="s">
        <v>305</v>
      </c>
      <c r="EW88" t="s">
        <v>301</v>
      </c>
      <c r="EX88" t="s">
        <v>548</v>
      </c>
      <c r="EY88">
        <v>95</v>
      </c>
      <c r="EZ88">
        <v>40</v>
      </c>
      <c r="FA88" t="s">
        <v>559</v>
      </c>
      <c r="FB88" t="s">
        <v>605</v>
      </c>
      <c r="FC88" t="s">
        <v>306</v>
      </c>
      <c r="FD88" t="s">
        <v>1003</v>
      </c>
      <c r="FE88">
        <v>100</v>
      </c>
      <c r="FF88">
        <v>50</v>
      </c>
      <c r="FG88" t="s">
        <v>1005</v>
      </c>
      <c r="FH88" t="s">
        <v>1359</v>
      </c>
    </row>
    <row r="89" spans="1:164" x14ac:dyDescent="0.25">
      <c r="A89">
        <v>4</v>
      </c>
      <c r="B89" t="s">
        <v>164</v>
      </c>
      <c r="C89">
        <v>46</v>
      </c>
      <c r="D89">
        <v>4601</v>
      </c>
      <c r="E89">
        <v>974737841</v>
      </c>
      <c r="F89" t="s">
        <v>165</v>
      </c>
      <c r="G89" t="s">
        <v>166</v>
      </c>
      <c r="H89" t="s">
        <v>167</v>
      </c>
      <c r="I89" t="s">
        <v>1360</v>
      </c>
      <c r="J89" t="e">
        <f>TRIM(#REF!)</f>
        <v>#REF!</v>
      </c>
      <c r="K89" t="e">
        <f>#REF!&amp;#REF!&amp;#REF!</f>
        <v>#REF!</v>
      </c>
      <c r="L89" t="str">
        <f>IFERROR(VLOOKUP(#REF!,工作表1!E:I,2,FALSE),"")</f>
        <v/>
      </c>
      <c r="M89" t="str">
        <f>IFERROR(VLOOKUP(#REF!,工作表1!E:I,3,FALSE),"")</f>
        <v/>
      </c>
      <c r="N89" t="str">
        <f>IFERROR(VLOOKUP(#REF!,工作表1!E:I,4,FALSE),"")</f>
        <v/>
      </c>
      <c r="O89" t="str">
        <f>IFERROR(VLOOKUP(#REF!,工作表1!E:I,5,FALSE),"")</f>
        <v/>
      </c>
      <c r="P89" t="s">
        <v>1361</v>
      </c>
      <c r="Q89" t="s">
        <v>655</v>
      </c>
      <c r="R89" t="s">
        <v>187</v>
      </c>
      <c r="T89" t="s">
        <v>1143</v>
      </c>
      <c r="U89" t="s">
        <v>608</v>
      </c>
      <c r="V89" t="s">
        <v>171</v>
      </c>
      <c r="X89" t="s">
        <v>1316</v>
      </c>
      <c r="Y89" t="s">
        <v>505</v>
      </c>
      <c r="Z89" t="s">
        <v>195</v>
      </c>
      <c r="AB89" t="s">
        <v>1318</v>
      </c>
      <c r="AC89" t="s">
        <v>580</v>
      </c>
      <c r="AD89" t="s">
        <v>281</v>
      </c>
      <c r="AF89" t="s">
        <v>886</v>
      </c>
      <c r="AG89" t="s">
        <v>530</v>
      </c>
      <c r="AH89" t="s">
        <v>176</v>
      </c>
      <c r="AJ89" t="s">
        <v>473</v>
      </c>
      <c r="AK89" t="s">
        <v>1072</v>
      </c>
      <c r="AL89" t="s">
        <v>1362</v>
      </c>
      <c r="AM89" t="s">
        <v>557</v>
      </c>
      <c r="AN89" t="s">
        <v>170</v>
      </c>
      <c r="AO89" t="s">
        <v>775</v>
      </c>
      <c r="AP89" t="s">
        <v>776</v>
      </c>
      <c r="AQ89" t="s">
        <v>202</v>
      </c>
      <c r="AR89" t="s">
        <v>473</v>
      </c>
      <c r="AS89" t="s">
        <v>619</v>
      </c>
      <c r="AT89" t="s">
        <v>936</v>
      </c>
      <c r="AU89" t="s">
        <v>630</v>
      </c>
      <c r="AV89" t="s">
        <v>173</v>
      </c>
      <c r="AW89" t="s">
        <v>617</v>
      </c>
      <c r="AX89" t="s">
        <v>619</v>
      </c>
      <c r="AY89" t="s">
        <v>644</v>
      </c>
      <c r="AZ89" t="s">
        <v>173</v>
      </c>
      <c r="BA89" t="s">
        <v>807</v>
      </c>
      <c r="BB89" t="s">
        <v>634</v>
      </c>
      <c r="BC89" t="s">
        <v>566</v>
      </c>
      <c r="BD89">
        <v>1416</v>
      </c>
      <c r="BE89">
        <v>1658</v>
      </c>
      <c r="BF89">
        <v>1400</v>
      </c>
      <c r="BG89">
        <v>1338</v>
      </c>
      <c r="BH89">
        <v>1365</v>
      </c>
      <c r="BY89" t="s">
        <v>205</v>
      </c>
      <c r="BZ89" t="s">
        <v>649</v>
      </c>
      <c r="CA89" t="s">
        <v>473</v>
      </c>
      <c r="CB89" t="s">
        <v>216</v>
      </c>
      <c r="CC89" t="s">
        <v>633</v>
      </c>
      <c r="CD89" t="s">
        <v>473</v>
      </c>
      <c r="CE89" t="s">
        <v>201</v>
      </c>
      <c r="CF89" t="s">
        <v>1064</v>
      </c>
      <c r="CG89" t="s">
        <v>473</v>
      </c>
      <c r="CH89" t="s">
        <v>205</v>
      </c>
      <c r="CI89" t="s">
        <v>598</v>
      </c>
      <c r="CJ89" t="s">
        <v>182</v>
      </c>
      <c r="CK89" t="s">
        <v>201</v>
      </c>
      <c r="CL89" t="s">
        <v>629</v>
      </c>
      <c r="CM89" t="s">
        <v>612</v>
      </c>
      <c r="CN89" t="s">
        <v>600</v>
      </c>
      <c r="CO89" t="s">
        <v>557</v>
      </c>
      <c r="CP89" t="s">
        <v>612</v>
      </c>
      <c r="CQ89" t="s">
        <v>183</v>
      </c>
      <c r="CR89" t="s">
        <v>202</v>
      </c>
      <c r="CS89" t="s">
        <v>512</v>
      </c>
      <c r="CT89" t="s">
        <v>496</v>
      </c>
      <c r="CU89" t="s">
        <v>522</v>
      </c>
      <c r="CV89" t="s">
        <v>512</v>
      </c>
      <c r="CW89" t="s">
        <v>183</v>
      </c>
      <c r="CX89" t="s">
        <v>598</v>
      </c>
      <c r="CY89" t="s">
        <v>512</v>
      </c>
      <c r="CZ89" t="s">
        <v>216</v>
      </c>
      <c r="DA89" t="s">
        <v>351</v>
      </c>
      <c r="DB89" t="s">
        <v>512</v>
      </c>
      <c r="DC89" t="s">
        <v>216</v>
      </c>
      <c r="DD89" t="s">
        <v>630</v>
      </c>
      <c r="DE89" t="s">
        <v>533</v>
      </c>
      <c r="DF89" t="s">
        <v>210</v>
      </c>
      <c r="DG89" t="s">
        <v>208</v>
      </c>
      <c r="DH89" t="s">
        <v>533</v>
      </c>
      <c r="FH89" t="s">
        <v>1363</v>
      </c>
    </row>
    <row r="90" spans="1:164" x14ac:dyDescent="0.25">
      <c r="A90">
        <v>4</v>
      </c>
      <c r="B90" t="s">
        <v>164</v>
      </c>
      <c r="C90">
        <v>46</v>
      </c>
      <c r="D90">
        <v>4601</v>
      </c>
      <c r="E90">
        <v>974738171</v>
      </c>
      <c r="F90" t="s">
        <v>165</v>
      </c>
      <c r="G90" t="s">
        <v>166</v>
      </c>
      <c r="H90" t="s">
        <v>167</v>
      </c>
      <c r="I90" t="s">
        <v>1364</v>
      </c>
      <c r="J90" t="e">
        <f>TRIM(#REF!)</f>
        <v>#REF!</v>
      </c>
      <c r="K90" t="e">
        <f>#REF!&amp;#REF!&amp;#REF!</f>
        <v>#REF!</v>
      </c>
      <c r="L90" t="str">
        <f>IFERROR(VLOOKUP(#REF!,工作表1!E:I,2,FALSE),"")</f>
        <v/>
      </c>
      <c r="M90" t="str">
        <f>IFERROR(VLOOKUP(#REF!,工作表1!E:I,3,FALSE),"")</f>
        <v/>
      </c>
      <c r="N90" t="str">
        <f>IFERROR(VLOOKUP(#REF!,工作表1!E:I,4,FALSE),"")</f>
        <v/>
      </c>
      <c r="O90" t="str">
        <f>IFERROR(VLOOKUP(#REF!,工作表1!E:I,5,FALSE),"")</f>
        <v/>
      </c>
      <c r="P90" t="s">
        <v>1365</v>
      </c>
      <c r="Q90" t="s">
        <v>530</v>
      </c>
      <c r="R90" t="s">
        <v>612</v>
      </c>
      <c r="T90" t="s">
        <v>697</v>
      </c>
      <c r="U90" t="s">
        <v>530</v>
      </c>
      <c r="V90" t="s">
        <v>182</v>
      </c>
      <c r="X90" t="s">
        <v>1366</v>
      </c>
      <c r="Y90" t="s">
        <v>502</v>
      </c>
      <c r="Z90" t="s">
        <v>595</v>
      </c>
      <c r="AB90" t="s">
        <v>695</v>
      </c>
      <c r="AC90" t="s">
        <v>505</v>
      </c>
      <c r="AD90" t="s">
        <v>525</v>
      </c>
      <c r="AF90" t="s">
        <v>1367</v>
      </c>
      <c r="AG90" t="s">
        <v>501</v>
      </c>
      <c r="AH90" t="s">
        <v>209</v>
      </c>
      <c r="AJ90" t="s">
        <v>179</v>
      </c>
      <c r="AK90" t="s">
        <v>192</v>
      </c>
      <c r="AL90" t="s">
        <v>1117</v>
      </c>
      <c r="AM90" t="s">
        <v>186</v>
      </c>
      <c r="AN90" t="s">
        <v>176</v>
      </c>
      <c r="AO90" t="s">
        <v>926</v>
      </c>
      <c r="AP90" t="s">
        <v>493</v>
      </c>
      <c r="AQ90" t="s">
        <v>486</v>
      </c>
      <c r="AR90" t="s">
        <v>176</v>
      </c>
      <c r="AS90" t="s">
        <v>590</v>
      </c>
      <c r="AT90" t="s">
        <v>200</v>
      </c>
      <c r="AU90" t="s">
        <v>263</v>
      </c>
      <c r="AV90" t="s">
        <v>612</v>
      </c>
      <c r="AW90" t="s">
        <v>796</v>
      </c>
      <c r="AX90" t="s">
        <v>520</v>
      </c>
      <c r="AY90" t="s">
        <v>629</v>
      </c>
      <c r="AZ90" t="s">
        <v>176</v>
      </c>
      <c r="BA90" t="s">
        <v>590</v>
      </c>
      <c r="BB90" t="s">
        <v>197</v>
      </c>
      <c r="BC90" t="s">
        <v>623</v>
      </c>
      <c r="BD90">
        <v>1681</v>
      </c>
      <c r="BE90">
        <v>1615</v>
      </c>
      <c r="BF90">
        <v>1585</v>
      </c>
      <c r="BG90">
        <v>1633</v>
      </c>
      <c r="BH90">
        <v>1606</v>
      </c>
      <c r="BY90" t="s">
        <v>201</v>
      </c>
      <c r="BZ90" t="s">
        <v>213</v>
      </c>
      <c r="CA90" t="s">
        <v>724</v>
      </c>
      <c r="CB90" t="s">
        <v>174</v>
      </c>
      <c r="CC90" t="s">
        <v>301</v>
      </c>
      <c r="CD90" t="s">
        <v>724</v>
      </c>
      <c r="CE90" t="s">
        <v>496</v>
      </c>
      <c r="CF90" t="s">
        <v>644</v>
      </c>
      <c r="CG90" t="s">
        <v>724</v>
      </c>
      <c r="CH90" t="s">
        <v>174</v>
      </c>
      <c r="CI90" t="s">
        <v>208</v>
      </c>
      <c r="CJ90" t="s">
        <v>215</v>
      </c>
      <c r="CK90" t="s">
        <v>207</v>
      </c>
      <c r="CL90" t="s">
        <v>213</v>
      </c>
      <c r="CM90" t="s">
        <v>215</v>
      </c>
      <c r="CN90" t="s">
        <v>177</v>
      </c>
      <c r="CO90" t="s">
        <v>204</v>
      </c>
      <c r="CP90" t="s">
        <v>215</v>
      </c>
      <c r="CQ90" t="s">
        <v>174</v>
      </c>
      <c r="CR90" t="s">
        <v>213</v>
      </c>
      <c r="CS90" t="s">
        <v>174</v>
      </c>
      <c r="CT90" t="s">
        <v>207</v>
      </c>
      <c r="CU90" t="s">
        <v>644</v>
      </c>
      <c r="CV90" t="s">
        <v>174</v>
      </c>
      <c r="CW90" t="s">
        <v>177</v>
      </c>
      <c r="CX90" t="s">
        <v>497</v>
      </c>
      <c r="CY90" t="s">
        <v>174</v>
      </c>
      <c r="CZ90" t="s">
        <v>174</v>
      </c>
      <c r="DA90" t="s">
        <v>566</v>
      </c>
      <c r="DB90" t="s">
        <v>210</v>
      </c>
      <c r="DC90" t="s">
        <v>174</v>
      </c>
      <c r="DD90" t="s">
        <v>669</v>
      </c>
      <c r="DE90" t="s">
        <v>210</v>
      </c>
      <c r="DF90" t="s">
        <v>201</v>
      </c>
      <c r="DG90" t="s">
        <v>494</v>
      </c>
      <c r="DH90" t="s">
        <v>210</v>
      </c>
      <c r="FH90" t="s">
        <v>1368</v>
      </c>
    </row>
    <row r="91" spans="1:164" x14ac:dyDescent="0.25">
      <c r="A91">
        <v>4</v>
      </c>
      <c r="B91" t="s">
        <v>164</v>
      </c>
      <c r="C91">
        <v>46</v>
      </c>
      <c r="D91">
        <v>4601</v>
      </c>
      <c r="E91">
        <v>974738260</v>
      </c>
      <c r="F91" t="s">
        <v>165</v>
      </c>
      <c r="G91" t="s">
        <v>166</v>
      </c>
      <c r="H91" t="s">
        <v>167</v>
      </c>
      <c r="I91" t="s">
        <v>1369</v>
      </c>
      <c r="J91" t="e">
        <f>TRIM(#REF!)</f>
        <v>#REF!</v>
      </c>
      <c r="K91" t="e">
        <f>#REF!&amp;#REF!&amp;#REF!</f>
        <v>#REF!</v>
      </c>
      <c r="L91" t="str">
        <f>IFERROR(VLOOKUP(#REF!,工作表1!E:I,2,FALSE),"")</f>
        <v/>
      </c>
      <c r="M91" t="str">
        <f>IFERROR(VLOOKUP(#REF!,工作表1!E:I,3,FALSE),"")</f>
        <v/>
      </c>
      <c r="N91" t="str">
        <f>IFERROR(VLOOKUP(#REF!,工作表1!E:I,4,FALSE),"")</f>
        <v/>
      </c>
      <c r="O91" t="str">
        <f>IFERROR(VLOOKUP(#REF!,工作表1!E:I,5,FALSE),"")</f>
        <v/>
      </c>
      <c r="P91" t="s">
        <v>500</v>
      </c>
      <c r="Q91" t="s">
        <v>581</v>
      </c>
      <c r="R91" t="s">
        <v>195</v>
      </c>
      <c r="T91" t="s">
        <v>1370</v>
      </c>
      <c r="U91" t="s">
        <v>480</v>
      </c>
      <c r="V91" t="s">
        <v>523</v>
      </c>
      <c r="X91" t="s">
        <v>1300</v>
      </c>
      <c r="Y91" t="s">
        <v>480</v>
      </c>
      <c r="Z91" t="s">
        <v>195</v>
      </c>
      <c r="AB91" t="s">
        <v>507</v>
      </c>
      <c r="AC91" t="s">
        <v>505</v>
      </c>
      <c r="AD91" t="s">
        <v>525</v>
      </c>
      <c r="AF91" t="s">
        <v>1371</v>
      </c>
      <c r="AG91" t="s">
        <v>608</v>
      </c>
      <c r="AH91" t="s">
        <v>182</v>
      </c>
      <c r="AJ91" t="s">
        <v>612</v>
      </c>
      <c r="AK91" t="s">
        <v>701</v>
      </c>
      <c r="AL91" t="s">
        <v>702</v>
      </c>
      <c r="AM91" t="s">
        <v>214</v>
      </c>
      <c r="AN91" t="s">
        <v>187</v>
      </c>
      <c r="AO91" t="s">
        <v>785</v>
      </c>
      <c r="AP91" t="s">
        <v>794</v>
      </c>
      <c r="AQ91" t="s">
        <v>206</v>
      </c>
      <c r="AR91" t="s">
        <v>176</v>
      </c>
      <c r="AS91" t="s">
        <v>188</v>
      </c>
      <c r="AT91" t="s">
        <v>782</v>
      </c>
      <c r="AU91" t="s">
        <v>263</v>
      </c>
      <c r="AV91" t="s">
        <v>593</v>
      </c>
      <c r="AW91" t="s">
        <v>184</v>
      </c>
      <c r="AX91" t="s">
        <v>491</v>
      </c>
      <c r="AY91" t="s">
        <v>190</v>
      </c>
      <c r="AZ91" t="s">
        <v>489</v>
      </c>
      <c r="BA91" t="s">
        <v>701</v>
      </c>
      <c r="BB91" t="s">
        <v>1372</v>
      </c>
      <c r="BC91" t="s">
        <v>626</v>
      </c>
      <c r="BD91">
        <v>1560</v>
      </c>
      <c r="BE91">
        <v>1633</v>
      </c>
      <c r="BF91">
        <v>1737</v>
      </c>
      <c r="BG91">
        <v>1662</v>
      </c>
      <c r="BH91">
        <v>1675</v>
      </c>
      <c r="BY91" t="s">
        <v>281</v>
      </c>
      <c r="BZ91" t="s">
        <v>202</v>
      </c>
      <c r="CA91" t="s">
        <v>593</v>
      </c>
      <c r="CB91" t="s">
        <v>177</v>
      </c>
      <c r="CC91" t="s">
        <v>721</v>
      </c>
      <c r="CD91" t="s">
        <v>191</v>
      </c>
      <c r="CE91" t="s">
        <v>177</v>
      </c>
      <c r="CF91" t="s">
        <v>486</v>
      </c>
      <c r="CG91" t="s">
        <v>191</v>
      </c>
      <c r="CH91" t="s">
        <v>216</v>
      </c>
      <c r="CI91" t="s">
        <v>202</v>
      </c>
      <c r="CJ91" t="s">
        <v>525</v>
      </c>
      <c r="CK91" t="s">
        <v>281</v>
      </c>
      <c r="CL91" t="s">
        <v>494</v>
      </c>
      <c r="CM91" t="s">
        <v>525</v>
      </c>
      <c r="CN91" t="s">
        <v>207</v>
      </c>
      <c r="CO91" t="s">
        <v>213</v>
      </c>
      <c r="CP91" t="s">
        <v>217</v>
      </c>
      <c r="CQ91" t="s">
        <v>281</v>
      </c>
      <c r="CR91" t="s">
        <v>211</v>
      </c>
      <c r="CS91" t="s">
        <v>209</v>
      </c>
      <c r="CT91" t="s">
        <v>201</v>
      </c>
      <c r="CU91" t="s">
        <v>202</v>
      </c>
      <c r="CV91" t="s">
        <v>525</v>
      </c>
      <c r="CW91" t="s">
        <v>281</v>
      </c>
      <c r="CX91" t="s">
        <v>557</v>
      </c>
      <c r="CY91" t="s">
        <v>217</v>
      </c>
      <c r="CZ91" t="s">
        <v>177</v>
      </c>
      <c r="DA91" t="s">
        <v>211</v>
      </c>
      <c r="DB91" t="s">
        <v>209</v>
      </c>
      <c r="DC91" t="s">
        <v>281</v>
      </c>
      <c r="DD91" t="s">
        <v>557</v>
      </c>
      <c r="DE91" t="s">
        <v>212</v>
      </c>
      <c r="DF91" t="s">
        <v>207</v>
      </c>
      <c r="DG91" t="s">
        <v>557</v>
      </c>
      <c r="DH91" t="s">
        <v>209</v>
      </c>
      <c r="FH91" t="s">
        <v>1373</v>
      </c>
    </row>
    <row r="92" spans="1:164" x14ac:dyDescent="0.25">
      <c r="A92">
        <v>4</v>
      </c>
      <c r="B92" t="s">
        <v>164</v>
      </c>
      <c r="C92">
        <v>46</v>
      </c>
      <c r="D92">
        <v>4601</v>
      </c>
      <c r="E92">
        <v>979276028</v>
      </c>
      <c r="F92" t="s">
        <v>165</v>
      </c>
      <c r="G92" t="s">
        <v>166</v>
      </c>
      <c r="H92" t="s">
        <v>167</v>
      </c>
      <c r="I92" t="s">
        <v>1374</v>
      </c>
      <c r="J92" t="e">
        <f>TRIM(#REF!)</f>
        <v>#REF!</v>
      </c>
      <c r="K92" t="e">
        <f>#REF!&amp;#REF!&amp;#REF!</f>
        <v>#REF!</v>
      </c>
      <c r="L92" t="str">
        <f>IFERROR(VLOOKUP(#REF!,工作表1!E:I,2,FALSE),"")</f>
        <v/>
      </c>
      <c r="M92" t="str">
        <f>IFERROR(VLOOKUP(#REF!,工作表1!E:I,3,FALSE),"")</f>
        <v/>
      </c>
      <c r="N92" t="str">
        <f>IFERROR(VLOOKUP(#REF!,工作表1!E:I,4,FALSE),"")</f>
        <v/>
      </c>
      <c r="O92" t="str">
        <f>IFERROR(VLOOKUP(#REF!,工作表1!E:I,5,FALSE),"")</f>
        <v/>
      </c>
      <c r="P92" t="s">
        <v>1375</v>
      </c>
      <c r="Q92" t="s">
        <v>179</v>
      </c>
      <c r="R92" t="s">
        <v>519</v>
      </c>
      <c r="T92" t="s">
        <v>1376</v>
      </c>
      <c r="U92" t="s">
        <v>489</v>
      </c>
      <c r="V92" t="s">
        <v>529</v>
      </c>
      <c r="X92" t="s">
        <v>1177</v>
      </c>
      <c r="Y92" t="s">
        <v>595</v>
      </c>
      <c r="Z92" t="s">
        <v>474</v>
      </c>
      <c r="AB92" t="s">
        <v>1377</v>
      </c>
      <c r="AC92" t="s">
        <v>588</v>
      </c>
      <c r="AD92" t="s">
        <v>179</v>
      </c>
      <c r="AF92" t="s">
        <v>1378</v>
      </c>
      <c r="AG92" t="s">
        <v>176</v>
      </c>
      <c r="AH92" t="s">
        <v>179</v>
      </c>
      <c r="AJ92" t="s">
        <v>496</v>
      </c>
      <c r="AK92" t="s">
        <v>1258</v>
      </c>
      <c r="AL92" t="s">
        <v>1179</v>
      </c>
      <c r="AM92" t="s">
        <v>560</v>
      </c>
      <c r="AN92" t="s">
        <v>582</v>
      </c>
      <c r="AO92" t="s">
        <v>1379</v>
      </c>
      <c r="AP92" t="s">
        <v>1380</v>
      </c>
      <c r="AQ92" t="s">
        <v>721</v>
      </c>
      <c r="AR92" t="s">
        <v>600</v>
      </c>
      <c r="AS92" t="s">
        <v>1381</v>
      </c>
      <c r="AT92" t="s">
        <v>1382</v>
      </c>
      <c r="AU92" t="s">
        <v>649</v>
      </c>
      <c r="AV92" t="s">
        <v>584</v>
      </c>
      <c r="AW92" t="s">
        <v>1383</v>
      </c>
      <c r="AX92" t="s">
        <v>1384</v>
      </c>
      <c r="AY92" t="s">
        <v>652</v>
      </c>
      <c r="AZ92" t="s">
        <v>582</v>
      </c>
      <c r="BA92" t="s">
        <v>1385</v>
      </c>
      <c r="BB92" t="s">
        <v>1386</v>
      </c>
      <c r="BC92" t="s">
        <v>550</v>
      </c>
      <c r="BD92">
        <v>1639</v>
      </c>
      <c r="BE92">
        <v>1781</v>
      </c>
      <c r="BF92">
        <v>1726</v>
      </c>
      <c r="BG92">
        <v>1801</v>
      </c>
      <c r="BH92">
        <v>1790</v>
      </c>
      <c r="BI92" t="s">
        <v>261</v>
      </c>
      <c r="BJ92" t="s">
        <v>262</v>
      </c>
      <c r="BK92" t="s">
        <v>263</v>
      </c>
      <c r="BL92" t="s">
        <v>730</v>
      </c>
      <c r="BM92" t="s">
        <v>633</v>
      </c>
      <c r="BN92" t="s">
        <v>679</v>
      </c>
      <c r="BO92" t="s">
        <v>190</v>
      </c>
      <c r="BP92" t="s">
        <v>1356</v>
      </c>
      <c r="BQ92" t="s">
        <v>633</v>
      </c>
      <c r="BR92" t="s">
        <v>639</v>
      </c>
      <c r="BS92" t="s">
        <v>1092</v>
      </c>
      <c r="BT92" t="s">
        <v>1043</v>
      </c>
      <c r="BU92" t="s">
        <v>1092</v>
      </c>
      <c r="BV92" t="s">
        <v>688</v>
      </c>
      <c r="BW92" t="s">
        <v>1387</v>
      </c>
      <c r="BX92" t="s">
        <v>686</v>
      </c>
      <c r="BY92" t="s">
        <v>281</v>
      </c>
      <c r="BZ92" t="s">
        <v>204</v>
      </c>
      <c r="CA92" t="s">
        <v>209</v>
      </c>
      <c r="CB92" t="s">
        <v>205</v>
      </c>
      <c r="CC92" t="s">
        <v>497</v>
      </c>
      <c r="CD92" t="s">
        <v>209</v>
      </c>
      <c r="CE92" t="s">
        <v>201</v>
      </c>
      <c r="CF92" t="s">
        <v>214</v>
      </c>
      <c r="CG92" t="s">
        <v>525</v>
      </c>
      <c r="CH92" t="s">
        <v>281</v>
      </c>
      <c r="CI92" t="s">
        <v>211</v>
      </c>
      <c r="CJ92" t="s">
        <v>215</v>
      </c>
      <c r="CK92" t="s">
        <v>177</v>
      </c>
      <c r="CL92" t="s">
        <v>497</v>
      </c>
      <c r="CM92" t="s">
        <v>215</v>
      </c>
      <c r="CN92" t="s">
        <v>281</v>
      </c>
      <c r="CO92" t="s">
        <v>213</v>
      </c>
      <c r="CP92" t="s">
        <v>215</v>
      </c>
      <c r="CQ92" t="s">
        <v>207</v>
      </c>
      <c r="CR92" t="s">
        <v>497</v>
      </c>
      <c r="CS92" t="s">
        <v>201</v>
      </c>
      <c r="CT92" t="s">
        <v>207</v>
      </c>
      <c r="CU92" t="s">
        <v>557</v>
      </c>
      <c r="CV92" t="s">
        <v>174</v>
      </c>
      <c r="CW92" t="s">
        <v>216</v>
      </c>
      <c r="CX92" t="s">
        <v>214</v>
      </c>
      <c r="CY92" t="s">
        <v>201</v>
      </c>
      <c r="CZ92" t="s">
        <v>174</v>
      </c>
      <c r="DA92" t="s">
        <v>522</v>
      </c>
      <c r="DB92" t="s">
        <v>215</v>
      </c>
      <c r="DC92" t="s">
        <v>281</v>
      </c>
      <c r="DD92" t="s">
        <v>213</v>
      </c>
      <c r="DE92" t="s">
        <v>215</v>
      </c>
      <c r="DF92" t="s">
        <v>207</v>
      </c>
      <c r="DG92" t="s">
        <v>206</v>
      </c>
      <c r="DH92" t="s">
        <v>215</v>
      </c>
      <c r="DI92" t="s">
        <v>174</v>
      </c>
      <c r="DJ92" t="s">
        <v>669</v>
      </c>
      <c r="DK92" t="s">
        <v>639</v>
      </c>
      <c r="DL92" t="s">
        <v>174</v>
      </c>
      <c r="DM92" t="s">
        <v>558</v>
      </c>
      <c r="DN92" t="s">
        <v>819</v>
      </c>
      <c r="DO92" t="s">
        <v>205</v>
      </c>
      <c r="DP92" t="s">
        <v>669</v>
      </c>
      <c r="DQ92" t="s">
        <v>967</v>
      </c>
      <c r="DR92" t="s">
        <v>281</v>
      </c>
      <c r="DS92" t="s">
        <v>562</v>
      </c>
      <c r="DT92" t="s">
        <v>1220</v>
      </c>
      <c r="DU92" t="s">
        <v>216</v>
      </c>
      <c r="DV92" t="s">
        <v>558</v>
      </c>
      <c r="DW92" t="s">
        <v>1220</v>
      </c>
      <c r="DX92" t="s">
        <v>207</v>
      </c>
      <c r="DY92" t="s">
        <v>562</v>
      </c>
      <c r="DZ92" t="s">
        <v>1220</v>
      </c>
      <c r="EA92" t="s">
        <v>281</v>
      </c>
      <c r="EB92" t="s">
        <v>558</v>
      </c>
      <c r="EC92" t="s">
        <v>956</v>
      </c>
      <c r="ED92" t="s">
        <v>281</v>
      </c>
      <c r="EE92" t="s">
        <v>669</v>
      </c>
      <c r="EF92" t="s">
        <v>568</v>
      </c>
      <c r="EG92" t="s">
        <v>281</v>
      </c>
      <c r="EH92" t="s">
        <v>301</v>
      </c>
      <c r="EI92" t="s">
        <v>568</v>
      </c>
      <c r="EJ92" t="s">
        <v>201</v>
      </c>
      <c r="EK92" t="s">
        <v>566</v>
      </c>
      <c r="EL92" t="s">
        <v>686</v>
      </c>
      <c r="EM92" t="s">
        <v>281</v>
      </c>
      <c r="EN92" t="s">
        <v>558</v>
      </c>
      <c r="EO92" t="s">
        <v>686</v>
      </c>
      <c r="EP92" t="s">
        <v>496</v>
      </c>
      <c r="EQ92" t="s">
        <v>566</v>
      </c>
      <c r="ER92" t="s">
        <v>639</v>
      </c>
      <c r="ES92" t="s">
        <v>300</v>
      </c>
      <c r="ET92" t="s">
        <v>300</v>
      </c>
      <c r="EU92" t="s">
        <v>691</v>
      </c>
      <c r="EV92" t="s">
        <v>306</v>
      </c>
      <c r="EW92" t="s">
        <v>300</v>
      </c>
      <c r="EX92" t="s">
        <v>730</v>
      </c>
      <c r="EY92">
        <v>110</v>
      </c>
      <c r="EZ92">
        <v>30</v>
      </c>
      <c r="FA92" t="s">
        <v>678</v>
      </c>
      <c r="FB92" t="s">
        <v>1187</v>
      </c>
      <c r="FC92" t="s">
        <v>623</v>
      </c>
      <c r="FD92" t="s">
        <v>1186</v>
      </c>
      <c r="FE92">
        <v>100</v>
      </c>
      <c r="FF92">
        <v>65</v>
      </c>
      <c r="FG92" t="s">
        <v>1141</v>
      </c>
      <c r="FH92" t="s">
        <v>1388</v>
      </c>
    </row>
    <row r="93" spans="1:164" x14ac:dyDescent="0.25">
      <c r="A93">
        <v>4</v>
      </c>
      <c r="B93" t="s">
        <v>164</v>
      </c>
      <c r="C93">
        <v>46</v>
      </c>
      <c r="D93">
        <v>4601</v>
      </c>
      <c r="E93">
        <v>974738457</v>
      </c>
      <c r="F93" t="s">
        <v>165</v>
      </c>
      <c r="G93" t="s">
        <v>166</v>
      </c>
      <c r="H93" t="s">
        <v>167</v>
      </c>
      <c r="I93" t="s">
        <v>1389</v>
      </c>
      <c r="J93" t="e">
        <f>TRIM(#REF!)</f>
        <v>#REF!</v>
      </c>
      <c r="K93" t="e">
        <f>#REF!&amp;#REF!&amp;#REF!</f>
        <v>#REF!</v>
      </c>
      <c r="L93" t="str">
        <f>IFERROR(VLOOKUP(#REF!,工作表1!E:I,2,FALSE),"")</f>
        <v/>
      </c>
      <c r="M93" t="str">
        <f>IFERROR(VLOOKUP(#REF!,工作表1!E:I,3,FALSE),"")</f>
        <v/>
      </c>
      <c r="N93" t="str">
        <f>IFERROR(VLOOKUP(#REF!,工作表1!E:I,4,FALSE),"")</f>
        <v/>
      </c>
      <c r="O93" t="str">
        <f>IFERROR(VLOOKUP(#REF!,工作表1!E:I,5,FALSE),"")</f>
        <v/>
      </c>
      <c r="P93" t="s">
        <v>1390</v>
      </c>
      <c r="Q93" t="s">
        <v>519</v>
      </c>
      <c r="R93" t="s">
        <v>505</v>
      </c>
      <c r="T93" t="s">
        <v>781</v>
      </c>
      <c r="U93" t="s">
        <v>182</v>
      </c>
      <c r="V93" t="s">
        <v>480</v>
      </c>
      <c r="X93" t="s">
        <v>752</v>
      </c>
      <c r="Y93" t="s">
        <v>512</v>
      </c>
      <c r="Z93" t="s">
        <v>580</v>
      </c>
      <c r="AB93" t="s">
        <v>1055</v>
      </c>
      <c r="AC93" t="s">
        <v>474</v>
      </c>
      <c r="AD93" t="s">
        <v>604</v>
      </c>
      <c r="AF93" t="s">
        <v>696</v>
      </c>
      <c r="AG93" t="s">
        <v>529</v>
      </c>
      <c r="AH93" t="s">
        <v>481</v>
      </c>
      <c r="AJ93" t="s">
        <v>525</v>
      </c>
      <c r="AK93" t="s">
        <v>1242</v>
      </c>
      <c r="AL93" t="s">
        <v>1285</v>
      </c>
      <c r="AM93" t="s">
        <v>208</v>
      </c>
      <c r="AN93" t="s">
        <v>212</v>
      </c>
      <c r="AO93" t="s">
        <v>1391</v>
      </c>
      <c r="AP93" t="s">
        <v>850</v>
      </c>
      <c r="AQ93" t="s">
        <v>629</v>
      </c>
      <c r="AR93" t="s">
        <v>525</v>
      </c>
      <c r="AS93" t="s">
        <v>1392</v>
      </c>
      <c r="AT93" t="s">
        <v>1042</v>
      </c>
      <c r="AU93" t="s">
        <v>494</v>
      </c>
      <c r="AV93" t="s">
        <v>216</v>
      </c>
      <c r="AW93" t="s">
        <v>850</v>
      </c>
      <c r="AX93" t="s">
        <v>1393</v>
      </c>
      <c r="AY93" t="s">
        <v>214</v>
      </c>
      <c r="AZ93" t="s">
        <v>215</v>
      </c>
      <c r="BA93" t="s">
        <v>546</v>
      </c>
      <c r="BB93" t="s">
        <v>1058</v>
      </c>
      <c r="BC93" t="s">
        <v>566</v>
      </c>
      <c r="BD93">
        <v>1943</v>
      </c>
      <c r="BE93">
        <v>1640</v>
      </c>
      <c r="BF93">
        <v>1664</v>
      </c>
      <c r="BG93">
        <v>1750</v>
      </c>
      <c r="BH93">
        <v>1778</v>
      </c>
      <c r="BI93" t="s">
        <v>349</v>
      </c>
      <c r="BJ93" t="s">
        <v>350</v>
      </c>
      <c r="BK93" t="s">
        <v>351</v>
      </c>
      <c r="BL93" t="s">
        <v>203</v>
      </c>
      <c r="BM93" t="s">
        <v>198</v>
      </c>
      <c r="BN93" t="s">
        <v>182</v>
      </c>
      <c r="BO93" t="s">
        <v>266</v>
      </c>
      <c r="BP93" t="s">
        <v>170</v>
      </c>
      <c r="BQ93" t="s">
        <v>266</v>
      </c>
      <c r="BR93" t="s">
        <v>474</v>
      </c>
      <c r="BS93" t="s">
        <v>849</v>
      </c>
      <c r="BT93" t="s">
        <v>952</v>
      </c>
      <c r="BU93" t="s">
        <v>1022</v>
      </c>
      <c r="BV93" t="s">
        <v>563</v>
      </c>
      <c r="BW93" t="s">
        <v>1394</v>
      </c>
      <c r="BX93" t="s">
        <v>565</v>
      </c>
      <c r="DI93" t="s">
        <v>174</v>
      </c>
      <c r="DJ93" t="s">
        <v>206</v>
      </c>
      <c r="DK93" t="s">
        <v>203</v>
      </c>
      <c r="DL93" t="s">
        <v>216</v>
      </c>
      <c r="DM93" t="s">
        <v>644</v>
      </c>
      <c r="DN93" t="s">
        <v>201</v>
      </c>
      <c r="DO93" t="s">
        <v>207</v>
      </c>
      <c r="DP93" t="s">
        <v>301</v>
      </c>
      <c r="DQ93" t="s">
        <v>639</v>
      </c>
      <c r="DR93" t="s">
        <v>281</v>
      </c>
      <c r="DS93" t="s">
        <v>558</v>
      </c>
      <c r="DT93" t="s">
        <v>968</v>
      </c>
      <c r="DU93" t="s">
        <v>207</v>
      </c>
      <c r="DV93" t="s">
        <v>669</v>
      </c>
      <c r="DW93" t="s">
        <v>559</v>
      </c>
      <c r="DX93" t="s">
        <v>177</v>
      </c>
      <c r="DY93" t="s">
        <v>566</v>
      </c>
      <c r="DZ93" t="s">
        <v>970</v>
      </c>
      <c r="EA93" t="s">
        <v>174</v>
      </c>
      <c r="EB93" t="s">
        <v>606</v>
      </c>
      <c r="EC93" t="s">
        <v>971</v>
      </c>
      <c r="ED93" t="s">
        <v>177</v>
      </c>
      <c r="EE93" t="s">
        <v>606</v>
      </c>
      <c r="EF93" t="s">
        <v>971</v>
      </c>
      <c r="EG93" t="s">
        <v>216</v>
      </c>
      <c r="EH93" t="s">
        <v>560</v>
      </c>
      <c r="EI93" t="s">
        <v>968</v>
      </c>
      <c r="EJ93" t="s">
        <v>201</v>
      </c>
      <c r="EK93" t="s">
        <v>560</v>
      </c>
      <c r="EL93" t="s">
        <v>563</v>
      </c>
      <c r="EM93" t="s">
        <v>177</v>
      </c>
      <c r="EN93" t="s">
        <v>560</v>
      </c>
      <c r="EO93" t="s">
        <v>549</v>
      </c>
      <c r="EP93" t="s">
        <v>207</v>
      </c>
      <c r="EQ93" t="s">
        <v>562</v>
      </c>
      <c r="ER93" t="s">
        <v>554</v>
      </c>
      <c r="ES93" t="s">
        <v>301</v>
      </c>
      <c r="ET93" t="s">
        <v>211</v>
      </c>
      <c r="EU93" t="s">
        <v>1003</v>
      </c>
      <c r="EV93" t="s">
        <v>211</v>
      </c>
      <c r="EW93" t="s">
        <v>623</v>
      </c>
      <c r="EX93" t="s">
        <v>738</v>
      </c>
      <c r="EY93">
        <v>100</v>
      </c>
      <c r="EZ93">
        <v>70</v>
      </c>
      <c r="FA93" t="s">
        <v>971</v>
      </c>
      <c r="FB93" t="s">
        <v>1395</v>
      </c>
      <c r="FC93" t="s">
        <v>388</v>
      </c>
      <c r="FD93" t="s">
        <v>1003</v>
      </c>
      <c r="FE93">
        <v>110</v>
      </c>
      <c r="FF93">
        <v>120</v>
      </c>
      <c r="FG93" t="s">
        <v>554</v>
      </c>
      <c r="FH93" t="s">
        <v>1396</v>
      </c>
    </row>
    <row r="94" spans="1:164" x14ac:dyDescent="0.25">
      <c r="A94">
        <v>4</v>
      </c>
      <c r="B94" t="s">
        <v>164</v>
      </c>
      <c r="C94">
        <v>46</v>
      </c>
      <c r="D94">
        <v>4601</v>
      </c>
      <c r="E94">
        <v>974737876</v>
      </c>
      <c r="F94" t="s">
        <v>165</v>
      </c>
      <c r="G94" t="s">
        <v>166</v>
      </c>
      <c r="H94" t="s">
        <v>167</v>
      </c>
      <c r="I94" t="s">
        <v>1397</v>
      </c>
      <c r="J94" t="e">
        <f>TRIM(#REF!)</f>
        <v>#REF!</v>
      </c>
      <c r="K94" t="e">
        <f>#REF!&amp;#REF!&amp;#REF!</f>
        <v>#REF!</v>
      </c>
      <c r="L94" t="str">
        <f>IFERROR(VLOOKUP(#REF!,工作表1!E:I,2,FALSE),"")</f>
        <v/>
      </c>
      <c r="M94" t="str">
        <f>IFERROR(VLOOKUP(#REF!,工作表1!E:I,3,FALSE),"")</f>
        <v/>
      </c>
      <c r="N94" t="str">
        <f>IFERROR(VLOOKUP(#REF!,工作表1!E:I,4,FALSE),"")</f>
        <v/>
      </c>
      <c r="O94" t="str">
        <f>IFERROR(VLOOKUP(#REF!,工作表1!E:I,5,FALSE),"")</f>
        <v/>
      </c>
      <c r="P94" t="s">
        <v>1398</v>
      </c>
      <c r="Q94" t="s">
        <v>581</v>
      </c>
      <c r="R94" t="s">
        <v>818</v>
      </c>
      <c r="T94" t="s">
        <v>750</v>
      </c>
      <c r="U94" t="s">
        <v>179</v>
      </c>
      <c r="V94" t="s">
        <v>859</v>
      </c>
      <c r="X94" t="s">
        <v>779</v>
      </c>
      <c r="Y94" t="s">
        <v>191</v>
      </c>
      <c r="Z94" t="s">
        <v>688</v>
      </c>
      <c r="AB94" t="s">
        <v>960</v>
      </c>
      <c r="AC94" t="s">
        <v>179</v>
      </c>
      <c r="AD94" t="s">
        <v>688</v>
      </c>
      <c r="AF94" t="s">
        <v>779</v>
      </c>
      <c r="AG94" t="s">
        <v>195</v>
      </c>
      <c r="AH94" t="s">
        <v>819</v>
      </c>
      <c r="AJ94" t="s">
        <v>171</v>
      </c>
      <c r="AK94" t="s">
        <v>786</v>
      </c>
      <c r="AL94" t="s">
        <v>188</v>
      </c>
      <c r="AM94" t="s">
        <v>618</v>
      </c>
      <c r="AN94" t="s">
        <v>203</v>
      </c>
      <c r="AO94" t="s">
        <v>832</v>
      </c>
      <c r="AP94" t="s">
        <v>1399</v>
      </c>
      <c r="AQ94" t="s">
        <v>1400</v>
      </c>
      <c r="AR94" t="s">
        <v>523</v>
      </c>
      <c r="AS94" t="s">
        <v>856</v>
      </c>
      <c r="AT94" t="s">
        <v>824</v>
      </c>
      <c r="AU94" t="s">
        <v>468</v>
      </c>
      <c r="AV94" t="s">
        <v>217</v>
      </c>
      <c r="AW94" t="s">
        <v>949</v>
      </c>
      <c r="AX94" t="s">
        <v>1401</v>
      </c>
      <c r="AY94" t="s">
        <v>1402</v>
      </c>
      <c r="AZ94" t="s">
        <v>523</v>
      </c>
      <c r="BA94" t="s">
        <v>1096</v>
      </c>
      <c r="BB94" t="s">
        <v>1241</v>
      </c>
      <c r="BC94" t="s">
        <v>1227</v>
      </c>
      <c r="BD94">
        <v>1583</v>
      </c>
      <c r="BE94">
        <v>1488</v>
      </c>
      <c r="BF94">
        <v>1270</v>
      </c>
      <c r="BG94">
        <v>1492</v>
      </c>
      <c r="BH94">
        <v>1385</v>
      </c>
      <c r="BY94" t="s">
        <v>207</v>
      </c>
      <c r="BZ94" t="s">
        <v>204</v>
      </c>
      <c r="CA94" t="s">
        <v>183</v>
      </c>
      <c r="CB94" t="s">
        <v>207</v>
      </c>
      <c r="CC94" t="s">
        <v>486</v>
      </c>
      <c r="CD94" t="s">
        <v>496</v>
      </c>
      <c r="CE94" t="s">
        <v>177</v>
      </c>
      <c r="CF94" t="s">
        <v>494</v>
      </c>
      <c r="CG94" t="s">
        <v>201</v>
      </c>
      <c r="CH94" t="s">
        <v>281</v>
      </c>
      <c r="CI94" t="s">
        <v>494</v>
      </c>
      <c r="CJ94" t="s">
        <v>525</v>
      </c>
      <c r="CK94" t="s">
        <v>174</v>
      </c>
      <c r="CL94" t="s">
        <v>202</v>
      </c>
      <c r="CM94" t="s">
        <v>215</v>
      </c>
      <c r="CN94" t="s">
        <v>281</v>
      </c>
      <c r="CO94" t="s">
        <v>204</v>
      </c>
      <c r="CP94" t="s">
        <v>217</v>
      </c>
      <c r="CQ94" t="s">
        <v>216</v>
      </c>
      <c r="CR94" t="s">
        <v>202</v>
      </c>
      <c r="CS94" t="s">
        <v>215</v>
      </c>
      <c r="CT94" t="s">
        <v>215</v>
      </c>
      <c r="CU94" t="s">
        <v>486</v>
      </c>
      <c r="CV94" t="s">
        <v>210</v>
      </c>
      <c r="CW94" t="s">
        <v>210</v>
      </c>
      <c r="CX94" t="s">
        <v>486</v>
      </c>
      <c r="CY94" t="s">
        <v>215</v>
      </c>
      <c r="CZ94" t="s">
        <v>174</v>
      </c>
      <c r="DA94" t="s">
        <v>204</v>
      </c>
      <c r="DB94" t="s">
        <v>177</v>
      </c>
      <c r="DC94" t="s">
        <v>216</v>
      </c>
      <c r="DD94" t="s">
        <v>204</v>
      </c>
      <c r="DE94" t="s">
        <v>215</v>
      </c>
      <c r="DF94" t="s">
        <v>207</v>
      </c>
      <c r="DG94" t="s">
        <v>211</v>
      </c>
      <c r="DH94" t="s">
        <v>215</v>
      </c>
      <c r="FH94" t="s">
        <v>1403</v>
      </c>
    </row>
    <row r="95" spans="1:164" x14ac:dyDescent="0.25">
      <c r="A95">
        <v>4</v>
      </c>
      <c r="B95" t="s">
        <v>164</v>
      </c>
      <c r="C95">
        <v>46</v>
      </c>
      <c r="D95">
        <v>4601</v>
      </c>
      <c r="E95">
        <v>974738325</v>
      </c>
      <c r="F95" t="s">
        <v>165</v>
      </c>
      <c r="G95" t="s">
        <v>166</v>
      </c>
      <c r="H95" t="s">
        <v>167</v>
      </c>
      <c r="I95" t="s">
        <v>1404</v>
      </c>
      <c r="J95" t="e">
        <f>TRIM(#REF!)</f>
        <v>#REF!</v>
      </c>
      <c r="K95" t="e">
        <f>#REF!&amp;#REF!&amp;#REF!</f>
        <v>#REF!</v>
      </c>
      <c r="L95" t="str">
        <f>IFERROR(VLOOKUP(#REF!,工作表1!E:I,2,FALSE),"")</f>
        <v/>
      </c>
      <c r="M95" t="str">
        <f>IFERROR(VLOOKUP(#REF!,工作表1!E:I,3,FALSE),"")</f>
        <v/>
      </c>
      <c r="N95" t="str">
        <f>IFERROR(VLOOKUP(#REF!,工作表1!E:I,4,FALSE),"")</f>
        <v/>
      </c>
      <c r="O95" t="str">
        <f>IFERROR(VLOOKUP(#REF!,工作表1!E:I,5,FALSE),"")</f>
        <v/>
      </c>
      <c r="P95" t="s">
        <v>769</v>
      </c>
      <c r="Q95" t="s">
        <v>604</v>
      </c>
      <c r="R95" t="s">
        <v>604</v>
      </c>
      <c r="T95" t="s">
        <v>1405</v>
      </c>
      <c r="U95" t="s">
        <v>604</v>
      </c>
      <c r="V95" t="s">
        <v>604</v>
      </c>
      <c r="X95" t="s">
        <v>1326</v>
      </c>
      <c r="Y95" t="s">
        <v>655</v>
      </c>
      <c r="Z95" t="s">
        <v>604</v>
      </c>
      <c r="AB95" t="s">
        <v>1406</v>
      </c>
      <c r="AC95" t="s">
        <v>604</v>
      </c>
      <c r="AD95" t="s">
        <v>604</v>
      </c>
      <c r="AF95" t="s">
        <v>1127</v>
      </c>
      <c r="AG95" t="s">
        <v>604</v>
      </c>
      <c r="AH95" t="s">
        <v>604</v>
      </c>
      <c r="AJ95" t="s">
        <v>473</v>
      </c>
      <c r="AK95" t="s">
        <v>1012</v>
      </c>
      <c r="AL95" t="s">
        <v>1362</v>
      </c>
      <c r="AM95" t="s">
        <v>644</v>
      </c>
      <c r="AN95" t="s">
        <v>170</v>
      </c>
      <c r="AO95" t="s">
        <v>1407</v>
      </c>
      <c r="AP95" t="s">
        <v>1006</v>
      </c>
      <c r="AQ95" t="s">
        <v>495</v>
      </c>
      <c r="AR95" t="s">
        <v>170</v>
      </c>
      <c r="AS95" t="s">
        <v>805</v>
      </c>
      <c r="AT95" t="s">
        <v>900</v>
      </c>
      <c r="AU95" t="s">
        <v>557</v>
      </c>
      <c r="AV95" t="s">
        <v>473</v>
      </c>
      <c r="AW95" t="s">
        <v>1408</v>
      </c>
      <c r="AX95" t="s">
        <v>1407</v>
      </c>
      <c r="AY95" t="s">
        <v>497</v>
      </c>
      <c r="AZ95" t="s">
        <v>170</v>
      </c>
      <c r="BA95" t="s">
        <v>1072</v>
      </c>
      <c r="BB95" t="s">
        <v>901</v>
      </c>
      <c r="BC95" t="s">
        <v>644</v>
      </c>
      <c r="BD95">
        <v>1441</v>
      </c>
      <c r="BE95">
        <v>1517</v>
      </c>
      <c r="BF95">
        <v>1512</v>
      </c>
      <c r="BG95">
        <v>1537</v>
      </c>
      <c r="BH95">
        <v>1576</v>
      </c>
      <c r="BY95" t="s">
        <v>496</v>
      </c>
      <c r="BZ95" t="s">
        <v>208</v>
      </c>
      <c r="CA95" t="s">
        <v>176</v>
      </c>
      <c r="CB95" t="s">
        <v>201</v>
      </c>
      <c r="CC95" t="s">
        <v>629</v>
      </c>
      <c r="CD95" t="s">
        <v>176</v>
      </c>
      <c r="CE95" t="s">
        <v>183</v>
      </c>
      <c r="CF95" t="s">
        <v>202</v>
      </c>
      <c r="CG95" t="s">
        <v>176</v>
      </c>
      <c r="CH95" t="s">
        <v>177</v>
      </c>
      <c r="CI95" t="s">
        <v>486</v>
      </c>
      <c r="CJ95" t="s">
        <v>593</v>
      </c>
      <c r="CK95" t="s">
        <v>281</v>
      </c>
      <c r="CL95" t="s">
        <v>557</v>
      </c>
      <c r="CM95" t="s">
        <v>191</v>
      </c>
      <c r="CN95" t="s">
        <v>201</v>
      </c>
      <c r="CO95" t="s">
        <v>486</v>
      </c>
      <c r="CP95" t="s">
        <v>191</v>
      </c>
      <c r="CQ95" t="s">
        <v>201</v>
      </c>
      <c r="CR95" t="s">
        <v>202</v>
      </c>
      <c r="CS95" t="s">
        <v>595</v>
      </c>
      <c r="CT95" t="s">
        <v>201</v>
      </c>
      <c r="CU95" t="s">
        <v>557</v>
      </c>
      <c r="CV95" t="s">
        <v>595</v>
      </c>
      <c r="CW95" t="s">
        <v>177</v>
      </c>
      <c r="CX95" t="s">
        <v>644</v>
      </c>
      <c r="CY95" t="s">
        <v>595</v>
      </c>
      <c r="CZ95" t="s">
        <v>201</v>
      </c>
      <c r="DA95" t="s">
        <v>208</v>
      </c>
      <c r="DB95" t="s">
        <v>593</v>
      </c>
      <c r="DC95" t="s">
        <v>207</v>
      </c>
      <c r="DD95" t="s">
        <v>557</v>
      </c>
      <c r="DE95" t="s">
        <v>593</v>
      </c>
      <c r="DF95" t="s">
        <v>207</v>
      </c>
      <c r="DG95" t="s">
        <v>204</v>
      </c>
      <c r="DH95" t="s">
        <v>593</v>
      </c>
      <c r="FH95" t="s">
        <v>1409</v>
      </c>
    </row>
    <row r="96" spans="1:164" x14ac:dyDescent="0.25">
      <c r="A96">
        <v>4</v>
      </c>
      <c r="B96" t="s">
        <v>164</v>
      </c>
      <c r="C96">
        <v>46</v>
      </c>
      <c r="D96">
        <v>4601</v>
      </c>
      <c r="E96">
        <v>974739380</v>
      </c>
      <c r="F96" t="s">
        <v>165</v>
      </c>
      <c r="G96" t="s">
        <v>166</v>
      </c>
      <c r="H96" t="s">
        <v>167</v>
      </c>
      <c r="I96" t="s">
        <v>1410</v>
      </c>
      <c r="J96" t="e">
        <f>TRIM(#REF!)</f>
        <v>#REF!</v>
      </c>
      <c r="K96" t="e">
        <f>#REF!&amp;#REF!&amp;#REF!</f>
        <v>#REF!</v>
      </c>
      <c r="L96" t="str">
        <f>IFERROR(VLOOKUP(#REF!,工作表1!E:I,2,FALSE),"")</f>
        <v/>
      </c>
      <c r="M96" t="str">
        <f>IFERROR(VLOOKUP(#REF!,工作表1!E:I,3,FALSE),"")</f>
        <v/>
      </c>
      <c r="N96" t="str">
        <f>IFERROR(VLOOKUP(#REF!,工作表1!E:I,4,FALSE),"")</f>
        <v/>
      </c>
      <c r="O96" t="str">
        <f>IFERROR(VLOOKUP(#REF!,工作表1!E:I,5,FALSE),"")</f>
        <v/>
      </c>
      <c r="P96" t="s">
        <v>1411</v>
      </c>
      <c r="Q96" t="s">
        <v>176</v>
      </c>
      <c r="R96" t="s">
        <v>612</v>
      </c>
      <c r="T96" t="s">
        <v>1412</v>
      </c>
      <c r="U96" t="s">
        <v>176</v>
      </c>
      <c r="V96" t="s">
        <v>593</v>
      </c>
      <c r="X96" t="s">
        <v>1413</v>
      </c>
      <c r="Y96" t="s">
        <v>612</v>
      </c>
      <c r="Z96" t="s">
        <v>212</v>
      </c>
      <c r="AB96" t="s">
        <v>1412</v>
      </c>
      <c r="AC96" t="s">
        <v>529</v>
      </c>
      <c r="AD96" t="s">
        <v>582</v>
      </c>
      <c r="AF96" t="s">
        <v>1414</v>
      </c>
      <c r="AG96" t="s">
        <v>182</v>
      </c>
      <c r="AH96" t="s">
        <v>212</v>
      </c>
      <c r="AJ96" t="s">
        <v>210</v>
      </c>
      <c r="AK96" t="s">
        <v>1355</v>
      </c>
      <c r="AL96" t="s">
        <v>854</v>
      </c>
      <c r="AM96" t="s">
        <v>800</v>
      </c>
      <c r="AN96" t="s">
        <v>177</v>
      </c>
      <c r="AO96" t="s">
        <v>1309</v>
      </c>
      <c r="AP96" t="s">
        <v>1262</v>
      </c>
      <c r="AQ96" t="s">
        <v>800</v>
      </c>
      <c r="AR96" t="s">
        <v>174</v>
      </c>
      <c r="AS96" t="s">
        <v>1415</v>
      </c>
      <c r="AT96" t="s">
        <v>1355</v>
      </c>
      <c r="AU96" t="s">
        <v>650</v>
      </c>
      <c r="AV96" t="s">
        <v>207</v>
      </c>
      <c r="AW96" t="s">
        <v>1416</v>
      </c>
      <c r="AX96" t="s">
        <v>810</v>
      </c>
      <c r="AY96" t="s">
        <v>1064</v>
      </c>
      <c r="AZ96" t="s">
        <v>207</v>
      </c>
      <c r="BA96" t="s">
        <v>1353</v>
      </c>
      <c r="BB96" t="s">
        <v>854</v>
      </c>
      <c r="BC96" t="s">
        <v>929</v>
      </c>
      <c r="BD96">
        <v>1683</v>
      </c>
      <c r="BE96">
        <v>1686</v>
      </c>
      <c r="BF96">
        <v>1681</v>
      </c>
      <c r="BG96">
        <v>1691</v>
      </c>
      <c r="BH96">
        <v>1691</v>
      </c>
      <c r="BY96" t="s">
        <v>174</v>
      </c>
      <c r="BZ96" t="s">
        <v>669</v>
      </c>
      <c r="CA96" t="s">
        <v>811</v>
      </c>
      <c r="CB96" t="s">
        <v>496</v>
      </c>
      <c r="CC96" t="s">
        <v>562</v>
      </c>
      <c r="CD96" t="s">
        <v>691</v>
      </c>
      <c r="CE96" t="s">
        <v>201</v>
      </c>
      <c r="CF96" t="s">
        <v>564</v>
      </c>
      <c r="CG96" t="s">
        <v>691</v>
      </c>
      <c r="CH96" t="s">
        <v>201</v>
      </c>
      <c r="CI96" t="s">
        <v>644</v>
      </c>
      <c r="CJ96" t="s">
        <v>811</v>
      </c>
      <c r="CK96" t="s">
        <v>183</v>
      </c>
      <c r="CL96" t="s">
        <v>558</v>
      </c>
      <c r="CM96" t="s">
        <v>639</v>
      </c>
      <c r="CN96" t="s">
        <v>600</v>
      </c>
      <c r="CO96" t="s">
        <v>564</v>
      </c>
      <c r="CP96" t="s">
        <v>639</v>
      </c>
      <c r="CQ96" t="s">
        <v>201</v>
      </c>
      <c r="CR96" t="s">
        <v>566</v>
      </c>
      <c r="CS96" t="s">
        <v>683</v>
      </c>
      <c r="CT96" t="s">
        <v>174</v>
      </c>
      <c r="CU96" t="s">
        <v>669</v>
      </c>
      <c r="CV96" t="s">
        <v>684</v>
      </c>
      <c r="CW96" t="s">
        <v>205</v>
      </c>
      <c r="CX96" t="s">
        <v>560</v>
      </c>
      <c r="CY96" t="s">
        <v>689</v>
      </c>
      <c r="CZ96" t="s">
        <v>201</v>
      </c>
      <c r="DA96" t="s">
        <v>566</v>
      </c>
      <c r="DB96" t="s">
        <v>1138</v>
      </c>
      <c r="DC96" t="s">
        <v>205</v>
      </c>
      <c r="DD96" t="s">
        <v>564</v>
      </c>
      <c r="DE96" t="s">
        <v>1138</v>
      </c>
      <c r="DF96" t="s">
        <v>600</v>
      </c>
      <c r="DG96" t="s">
        <v>560</v>
      </c>
      <c r="DH96" t="s">
        <v>754</v>
      </c>
      <c r="FH96" t="s">
        <v>1417</v>
      </c>
    </row>
    <row r="97" spans="1:164" x14ac:dyDescent="0.25">
      <c r="A97">
        <v>4</v>
      </c>
      <c r="B97" t="s">
        <v>164</v>
      </c>
      <c r="C97">
        <v>46</v>
      </c>
      <c r="D97">
        <v>4601</v>
      </c>
      <c r="E97">
        <v>974738236</v>
      </c>
      <c r="F97" t="s">
        <v>165</v>
      </c>
      <c r="G97" t="s">
        <v>166</v>
      </c>
      <c r="H97" t="s">
        <v>167</v>
      </c>
      <c r="I97" t="s">
        <v>1418</v>
      </c>
      <c r="J97" t="e">
        <f>TRIM(#REF!)</f>
        <v>#REF!</v>
      </c>
      <c r="K97" t="e">
        <f>#REF!&amp;#REF!&amp;#REF!</f>
        <v>#REF!</v>
      </c>
      <c r="L97" t="str">
        <f>IFERROR(VLOOKUP(#REF!,工作表1!E:I,2,FALSE),"")</f>
        <v/>
      </c>
      <c r="M97" t="str">
        <f>IFERROR(VLOOKUP(#REF!,工作表1!E:I,3,FALSE),"")</f>
        <v/>
      </c>
      <c r="N97" t="str">
        <f>IFERROR(VLOOKUP(#REF!,工作表1!E:I,4,FALSE),"")</f>
        <v/>
      </c>
      <c r="O97" t="str">
        <f>IFERROR(VLOOKUP(#REF!,工作表1!E:I,5,FALSE),"")</f>
        <v/>
      </c>
      <c r="P97" t="s">
        <v>1419</v>
      </c>
      <c r="Q97" t="s">
        <v>187</v>
      </c>
      <c r="R97" t="s">
        <v>523</v>
      </c>
      <c r="T97" t="s">
        <v>1420</v>
      </c>
      <c r="U97" t="s">
        <v>533</v>
      </c>
      <c r="V97" t="s">
        <v>512</v>
      </c>
      <c r="X97" t="s">
        <v>1421</v>
      </c>
      <c r="Y97" t="s">
        <v>474</v>
      </c>
      <c r="Z97" t="s">
        <v>529</v>
      </c>
      <c r="AB97" t="s">
        <v>1422</v>
      </c>
      <c r="AC97" t="s">
        <v>476</v>
      </c>
      <c r="AD97" t="s">
        <v>593</v>
      </c>
      <c r="AF97" t="s">
        <v>1423</v>
      </c>
      <c r="AG97" t="s">
        <v>530</v>
      </c>
      <c r="AH97" t="s">
        <v>480</v>
      </c>
      <c r="AJ97" t="s">
        <v>217</v>
      </c>
      <c r="AK97" t="s">
        <v>1424</v>
      </c>
      <c r="AL97" t="s">
        <v>831</v>
      </c>
      <c r="AM97" t="s">
        <v>651</v>
      </c>
      <c r="AN97" t="s">
        <v>212</v>
      </c>
      <c r="AO97" t="s">
        <v>1026</v>
      </c>
      <c r="AP97" t="s">
        <v>1399</v>
      </c>
      <c r="AQ97" t="s">
        <v>825</v>
      </c>
      <c r="AR97" t="s">
        <v>523</v>
      </c>
      <c r="AS97" t="s">
        <v>1425</v>
      </c>
      <c r="AT97" t="s">
        <v>853</v>
      </c>
      <c r="AU97" t="s">
        <v>1426</v>
      </c>
      <c r="AV97" t="s">
        <v>203</v>
      </c>
      <c r="AW97" t="s">
        <v>850</v>
      </c>
      <c r="AX97" t="s">
        <v>1427</v>
      </c>
      <c r="AY97" t="s">
        <v>194</v>
      </c>
      <c r="AZ97" t="s">
        <v>171</v>
      </c>
      <c r="BA97" t="s">
        <v>1136</v>
      </c>
      <c r="BB97" t="s">
        <v>1428</v>
      </c>
      <c r="BC97" t="s">
        <v>194</v>
      </c>
      <c r="BD97">
        <v>1669</v>
      </c>
      <c r="BE97">
        <v>1699</v>
      </c>
      <c r="BF97">
        <v>1700</v>
      </c>
      <c r="BG97">
        <v>1701</v>
      </c>
      <c r="BH97">
        <v>1682</v>
      </c>
      <c r="BY97" t="s">
        <v>216</v>
      </c>
      <c r="BZ97" t="s">
        <v>495</v>
      </c>
      <c r="CA97" t="s">
        <v>682</v>
      </c>
      <c r="CB97" t="s">
        <v>281</v>
      </c>
      <c r="CC97" t="s">
        <v>301</v>
      </c>
      <c r="CD97" t="s">
        <v>676</v>
      </c>
      <c r="CE97" t="s">
        <v>216</v>
      </c>
      <c r="CF97" t="s">
        <v>566</v>
      </c>
      <c r="CG97" t="s">
        <v>676</v>
      </c>
      <c r="CH97" t="s">
        <v>281</v>
      </c>
      <c r="CI97" t="s">
        <v>644</v>
      </c>
      <c r="CJ97" t="s">
        <v>727</v>
      </c>
      <c r="CK97" t="s">
        <v>174</v>
      </c>
      <c r="CL97" t="s">
        <v>497</v>
      </c>
      <c r="CM97" t="s">
        <v>727</v>
      </c>
      <c r="CN97" t="s">
        <v>177</v>
      </c>
      <c r="CO97" t="s">
        <v>669</v>
      </c>
      <c r="CP97" t="s">
        <v>727</v>
      </c>
      <c r="CQ97" t="s">
        <v>281</v>
      </c>
      <c r="CR97" t="s">
        <v>213</v>
      </c>
      <c r="CS97" t="s">
        <v>730</v>
      </c>
      <c r="CT97" t="s">
        <v>177</v>
      </c>
      <c r="CU97" t="s">
        <v>301</v>
      </c>
      <c r="CV97" t="s">
        <v>734</v>
      </c>
      <c r="CW97" t="s">
        <v>174</v>
      </c>
      <c r="CX97" t="s">
        <v>213</v>
      </c>
      <c r="CY97" t="s">
        <v>734</v>
      </c>
      <c r="CZ97" t="s">
        <v>177</v>
      </c>
      <c r="DA97" t="s">
        <v>497</v>
      </c>
      <c r="DB97" t="s">
        <v>732</v>
      </c>
      <c r="DC97" t="s">
        <v>281</v>
      </c>
      <c r="DD97" t="s">
        <v>562</v>
      </c>
      <c r="DE97" t="s">
        <v>732</v>
      </c>
      <c r="DF97" t="s">
        <v>174</v>
      </c>
      <c r="DG97" t="s">
        <v>669</v>
      </c>
      <c r="DH97" t="s">
        <v>732</v>
      </c>
      <c r="FH97" t="s">
        <v>1429</v>
      </c>
    </row>
    <row r="98" spans="1:164" x14ac:dyDescent="0.25">
      <c r="A98">
        <v>4</v>
      </c>
      <c r="B98" t="s">
        <v>164</v>
      </c>
      <c r="C98">
        <v>46</v>
      </c>
      <c r="D98">
        <v>4601</v>
      </c>
      <c r="E98">
        <v>974117045</v>
      </c>
      <c r="F98" t="s">
        <v>165</v>
      </c>
      <c r="G98" t="s">
        <v>166</v>
      </c>
      <c r="H98" t="s">
        <v>167</v>
      </c>
      <c r="I98" t="s">
        <v>1430</v>
      </c>
      <c r="J98" t="e">
        <f>TRIM(#REF!)</f>
        <v>#REF!</v>
      </c>
      <c r="K98" t="e">
        <f>#REF!&amp;#REF!&amp;#REF!</f>
        <v>#REF!</v>
      </c>
      <c r="L98" t="str">
        <f>IFERROR(VLOOKUP(#REF!,工作表1!E:I,2,FALSE),"")</f>
        <v/>
      </c>
      <c r="M98" t="str">
        <f>IFERROR(VLOOKUP(#REF!,工作表1!E:I,3,FALSE),"")</f>
        <v/>
      </c>
      <c r="N98" t="str">
        <f>IFERROR(VLOOKUP(#REF!,工作表1!E:I,4,FALSE),"")</f>
        <v/>
      </c>
      <c r="O98" t="str">
        <f>IFERROR(VLOOKUP(#REF!,工作表1!E:I,5,FALSE),"")</f>
        <v/>
      </c>
      <c r="P98" t="s">
        <v>1431</v>
      </c>
      <c r="Q98" t="s">
        <v>474</v>
      </c>
      <c r="R98" t="s">
        <v>722</v>
      </c>
      <c r="T98" t="s">
        <v>837</v>
      </c>
      <c r="U98" t="s">
        <v>179</v>
      </c>
      <c r="V98" t="s">
        <v>1027</v>
      </c>
      <c r="X98" t="s">
        <v>837</v>
      </c>
      <c r="Y98" t="s">
        <v>179</v>
      </c>
      <c r="Z98" t="s">
        <v>722</v>
      </c>
      <c r="AB98" t="s">
        <v>507</v>
      </c>
      <c r="AC98" t="s">
        <v>195</v>
      </c>
      <c r="AD98" t="s">
        <v>496</v>
      </c>
      <c r="AF98" t="s">
        <v>172</v>
      </c>
      <c r="AG98" t="s">
        <v>593</v>
      </c>
      <c r="AH98" t="s">
        <v>180</v>
      </c>
      <c r="AJ98" t="s">
        <v>212</v>
      </c>
      <c r="AK98" t="s">
        <v>1041</v>
      </c>
      <c r="AL98" t="s">
        <v>487</v>
      </c>
      <c r="AM98" t="s">
        <v>198</v>
      </c>
      <c r="AN98" t="s">
        <v>523</v>
      </c>
      <c r="AO98" t="s">
        <v>1041</v>
      </c>
      <c r="AP98" t="s">
        <v>487</v>
      </c>
      <c r="AQ98" t="s">
        <v>797</v>
      </c>
      <c r="AR98" t="s">
        <v>525</v>
      </c>
      <c r="AS98" t="s">
        <v>964</v>
      </c>
      <c r="AT98" t="s">
        <v>1427</v>
      </c>
      <c r="AU98" t="s">
        <v>1064</v>
      </c>
      <c r="AV98" t="s">
        <v>216</v>
      </c>
      <c r="AW98" t="s">
        <v>1039</v>
      </c>
      <c r="AX98" t="s">
        <v>1082</v>
      </c>
      <c r="AY98" t="s">
        <v>649</v>
      </c>
      <c r="AZ98" t="s">
        <v>217</v>
      </c>
      <c r="BA98" t="s">
        <v>1268</v>
      </c>
      <c r="BB98" t="s">
        <v>1432</v>
      </c>
      <c r="BC98" t="s">
        <v>800</v>
      </c>
      <c r="BD98">
        <v>1923</v>
      </c>
      <c r="BE98">
        <v>2115</v>
      </c>
      <c r="BF98">
        <v>2157</v>
      </c>
      <c r="BG98">
        <v>1792</v>
      </c>
      <c r="BH98">
        <v>1714</v>
      </c>
      <c r="BI98" t="s">
        <v>349</v>
      </c>
      <c r="BJ98" t="s">
        <v>350</v>
      </c>
      <c r="BK98" t="s">
        <v>633</v>
      </c>
      <c r="BL98" t="s">
        <v>505</v>
      </c>
      <c r="BM98" t="s">
        <v>550</v>
      </c>
      <c r="BN98" t="s">
        <v>580</v>
      </c>
      <c r="BO98" t="s">
        <v>604</v>
      </c>
      <c r="BP98" t="s">
        <v>604</v>
      </c>
      <c r="BQ98" t="s">
        <v>604</v>
      </c>
      <c r="BR98" t="s">
        <v>604</v>
      </c>
      <c r="BS98" t="s">
        <v>535</v>
      </c>
      <c r="BT98" t="s">
        <v>281</v>
      </c>
      <c r="BU98" t="s">
        <v>1433</v>
      </c>
      <c r="BV98" t="s">
        <v>216</v>
      </c>
      <c r="BW98" t="s">
        <v>948</v>
      </c>
      <c r="BX98" t="s">
        <v>210</v>
      </c>
      <c r="BY98" t="s">
        <v>174</v>
      </c>
      <c r="BZ98" t="s">
        <v>630</v>
      </c>
      <c r="CA98" t="s">
        <v>512</v>
      </c>
      <c r="CB98" t="s">
        <v>177</v>
      </c>
      <c r="CC98" t="s">
        <v>266</v>
      </c>
      <c r="CD98" t="s">
        <v>533</v>
      </c>
      <c r="CE98" t="s">
        <v>207</v>
      </c>
      <c r="CF98" t="s">
        <v>550</v>
      </c>
      <c r="CG98" t="s">
        <v>512</v>
      </c>
      <c r="CH98" t="s">
        <v>209</v>
      </c>
      <c r="CI98" t="s">
        <v>202</v>
      </c>
      <c r="CJ98" t="s">
        <v>474</v>
      </c>
      <c r="CK98" t="s">
        <v>525</v>
      </c>
      <c r="CL98" t="s">
        <v>206</v>
      </c>
      <c r="CM98" t="s">
        <v>533</v>
      </c>
      <c r="CN98" t="s">
        <v>525</v>
      </c>
      <c r="CO98" t="s">
        <v>630</v>
      </c>
      <c r="CP98" t="s">
        <v>533</v>
      </c>
      <c r="CQ98" t="s">
        <v>205</v>
      </c>
      <c r="CR98" t="s">
        <v>721</v>
      </c>
      <c r="CS98" t="s">
        <v>512</v>
      </c>
      <c r="CT98" t="s">
        <v>281</v>
      </c>
      <c r="CU98" t="s">
        <v>486</v>
      </c>
      <c r="CV98" t="s">
        <v>512</v>
      </c>
      <c r="CW98" t="s">
        <v>496</v>
      </c>
      <c r="CX98" t="s">
        <v>208</v>
      </c>
      <c r="CY98" t="s">
        <v>512</v>
      </c>
      <c r="CZ98" t="s">
        <v>216</v>
      </c>
      <c r="DA98" t="s">
        <v>522</v>
      </c>
      <c r="DB98" t="s">
        <v>173</v>
      </c>
      <c r="DC98" t="s">
        <v>217</v>
      </c>
      <c r="DD98" t="s">
        <v>633</v>
      </c>
      <c r="DE98" t="s">
        <v>173</v>
      </c>
      <c r="DF98" t="s">
        <v>217</v>
      </c>
      <c r="DG98" t="s">
        <v>633</v>
      </c>
      <c r="DH98" t="s">
        <v>173</v>
      </c>
      <c r="DI98" t="s">
        <v>174</v>
      </c>
      <c r="DJ98" t="s">
        <v>557</v>
      </c>
      <c r="DK98" t="s">
        <v>177</v>
      </c>
      <c r="DL98" t="s">
        <v>281</v>
      </c>
      <c r="DM98" t="s">
        <v>494</v>
      </c>
      <c r="DN98" t="s">
        <v>201</v>
      </c>
      <c r="DO98" t="s">
        <v>281</v>
      </c>
      <c r="DP98" t="s">
        <v>497</v>
      </c>
      <c r="DQ98" t="s">
        <v>207</v>
      </c>
      <c r="DR98" t="s">
        <v>174</v>
      </c>
      <c r="DS98" t="s">
        <v>494</v>
      </c>
      <c r="DT98" t="s">
        <v>183</v>
      </c>
      <c r="DU98" t="s">
        <v>281</v>
      </c>
      <c r="DV98" t="s">
        <v>214</v>
      </c>
      <c r="DW98" t="s">
        <v>183</v>
      </c>
      <c r="DX98" t="s">
        <v>281</v>
      </c>
      <c r="DY98" t="s">
        <v>204</v>
      </c>
      <c r="DZ98" t="s">
        <v>183</v>
      </c>
      <c r="EA98" t="s">
        <v>183</v>
      </c>
      <c r="EB98" t="s">
        <v>214</v>
      </c>
      <c r="EC98" t="s">
        <v>207</v>
      </c>
      <c r="ED98" t="s">
        <v>207</v>
      </c>
      <c r="EE98" t="s">
        <v>497</v>
      </c>
      <c r="EF98" t="s">
        <v>281</v>
      </c>
      <c r="EG98" t="s">
        <v>174</v>
      </c>
      <c r="EH98" t="s">
        <v>557</v>
      </c>
      <c r="EI98" t="s">
        <v>281</v>
      </c>
      <c r="EJ98" t="s">
        <v>496</v>
      </c>
      <c r="EK98" t="s">
        <v>557</v>
      </c>
      <c r="EL98" t="s">
        <v>201</v>
      </c>
      <c r="EM98" t="s">
        <v>201</v>
      </c>
      <c r="EN98" t="s">
        <v>211</v>
      </c>
      <c r="EO98" t="s">
        <v>201</v>
      </c>
      <c r="EP98" t="s">
        <v>207</v>
      </c>
      <c r="EQ98" t="s">
        <v>211</v>
      </c>
      <c r="ER98" t="s">
        <v>201</v>
      </c>
      <c r="ES98" t="s">
        <v>731</v>
      </c>
      <c r="ET98" t="s">
        <v>731</v>
      </c>
      <c r="EU98" t="s">
        <v>205</v>
      </c>
      <c r="EV98" t="s">
        <v>731</v>
      </c>
      <c r="EW98" t="s">
        <v>731</v>
      </c>
      <c r="EX98" t="s">
        <v>174</v>
      </c>
      <c r="EY98">
        <v>100</v>
      </c>
      <c r="EZ98">
        <v>150</v>
      </c>
      <c r="FA98" t="s">
        <v>201</v>
      </c>
      <c r="FB98" t="s">
        <v>388</v>
      </c>
      <c r="FC98" t="s">
        <v>605</v>
      </c>
      <c r="FD98" t="s">
        <v>496</v>
      </c>
      <c r="FE98">
        <v>100</v>
      </c>
      <c r="FF98">
        <v>120</v>
      </c>
      <c r="FG98" t="s">
        <v>201</v>
      </c>
      <c r="FH98" t="s">
        <v>1434</v>
      </c>
    </row>
    <row r="99" spans="1:164" x14ac:dyDescent="0.25">
      <c r="A99">
        <v>4</v>
      </c>
      <c r="B99" t="s">
        <v>164</v>
      </c>
      <c r="C99">
        <v>46</v>
      </c>
      <c r="D99">
        <v>4601</v>
      </c>
      <c r="E99">
        <v>974117045</v>
      </c>
      <c r="F99" t="s">
        <v>165</v>
      </c>
      <c r="G99" t="s">
        <v>166</v>
      </c>
      <c r="H99" t="s">
        <v>167</v>
      </c>
      <c r="I99" t="s">
        <v>1430</v>
      </c>
      <c r="J99" t="e">
        <f>TRIM(#REF!)</f>
        <v>#REF!</v>
      </c>
      <c r="K99" t="e">
        <f>#REF!&amp;#REF!&amp;#REF!</f>
        <v>#REF!</v>
      </c>
      <c r="L99" t="str">
        <f>IFERROR(VLOOKUP(#REF!,工作表1!E:I,2,FALSE),"")</f>
        <v/>
      </c>
      <c r="M99" t="str">
        <f>IFERROR(VLOOKUP(#REF!,工作表1!E:I,3,FALSE),"")</f>
        <v/>
      </c>
      <c r="N99" t="str">
        <f>IFERROR(VLOOKUP(#REF!,工作表1!E:I,4,FALSE),"")</f>
        <v/>
      </c>
      <c r="O99" t="str">
        <f>IFERROR(VLOOKUP(#REF!,工作表1!E:I,5,FALSE),"")</f>
        <v/>
      </c>
      <c r="P99" t="s">
        <v>1431</v>
      </c>
      <c r="Q99" t="s">
        <v>474</v>
      </c>
      <c r="R99" t="s">
        <v>722</v>
      </c>
      <c r="T99" t="s">
        <v>837</v>
      </c>
      <c r="U99" t="s">
        <v>179</v>
      </c>
      <c r="V99" t="s">
        <v>1027</v>
      </c>
      <c r="X99" t="s">
        <v>837</v>
      </c>
      <c r="Y99" t="s">
        <v>179</v>
      </c>
      <c r="Z99" t="s">
        <v>722</v>
      </c>
      <c r="AB99" t="s">
        <v>507</v>
      </c>
      <c r="AC99" t="s">
        <v>195</v>
      </c>
      <c r="AD99" t="s">
        <v>496</v>
      </c>
      <c r="AF99" t="s">
        <v>172</v>
      </c>
      <c r="AG99" t="s">
        <v>593</v>
      </c>
      <c r="AH99" t="s">
        <v>180</v>
      </c>
      <c r="AJ99" t="s">
        <v>212</v>
      </c>
      <c r="AK99" t="s">
        <v>1041</v>
      </c>
      <c r="AL99" t="s">
        <v>487</v>
      </c>
      <c r="AM99" t="s">
        <v>198</v>
      </c>
      <c r="AN99" t="s">
        <v>523</v>
      </c>
      <c r="AO99" t="s">
        <v>1041</v>
      </c>
      <c r="AP99" t="s">
        <v>487</v>
      </c>
      <c r="AQ99" t="s">
        <v>797</v>
      </c>
      <c r="AR99" t="s">
        <v>525</v>
      </c>
      <c r="AS99" t="s">
        <v>964</v>
      </c>
      <c r="AT99" t="s">
        <v>1427</v>
      </c>
      <c r="AU99" t="s">
        <v>1064</v>
      </c>
      <c r="AV99" t="s">
        <v>216</v>
      </c>
      <c r="AW99" t="s">
        <v>1039</v>
      </c>
      <c r="AX99" t="s">
        <v>1082</v>
      </c>
      <c r="AY99" t="s">
        <v>649</v>
      </c>
      <c r="AZ99" t="s">
        <v>217</v>
      </c>
      <c r="BA99" t="s">
        <v>1268</v>
      </c>
      <c r="BB99" t="s">
        <v>1432</v>
      </c>
      <c r="BC99" t="s">
        <v>800</v>
      </c>
      <c r="BD99">
        <v>1923</v>
      </c>
      <c r="BE99">
        <v>2115</v>
      </c>
      <c r="BF99">
        <v>2157</v>
      </c>
      <c r="BG99">
        <v>1792</v>
      </c>
      <c r="BH99">
        <v>1714</v>
      </c>
      <c r="BI99" t="s">
        <v>261</v>
      </c>
      <c r="BJ99" t="s">
        <v>262</v>
      </c>
      <c r="BK99" t="s">
        <v>637</v>
      </c>
      <c r="BL99" t="s">
        <v>216</v>
      </c>
      <c r="BM99" t="s">
        <v>637</v>
      </c>
      <c r="BN99" t="s">
        <v>281</v>
      </c>
      <c r="BO99" t="s">
        <v>623</v>
      </c>
      <c r="BP99" t="s">
        <v>177</v>
      </c>
      <c r="BQ99" t="s">
        <v>637</v>
      </c>
      <c r="BR99" t="s">
        <v>210</v>
      </c>
      <c r="BS99" t="s">
        <v>535</v>
      </c>
      <c r="BT99" t="s">
        <v>281</v>
      </c>
      <c r="BU99" t="s">
        <v>1433</v>
      </c>
      <c r="BV99" t="s">
        <v>216</v>
      </c>
      <c r="BW99" t="s">
        <v>948</v>
      </c>
      <c r="BX99" t="s">
        <v>210</v>
      </c>
      <c r="BY99" t="s">
        <v>174</v>
      </c>
      <c r="BZ99" t="s">
        <v>630</v>
      </c>
      <c r="CA99" t="s">
        <v>512</v>
      </c>
      <c r="CB99" t="s">
        <v>177</v>
      </c>
      <c r="CC99" t="s">
        <v>266</v>
      </c>
      <c r="CD99" t="s">
        <v>533</v>
      </c>
      <c r="CE99" t="s">
        <v>207</v>
      </c>
      <c r="CF99" t="s">
        <v>550</v>
      </c>
      <c r="CG99" t="s">
        <v>512</v>
      </c>
      <c r="CH99" t="s">
        <v>209</v>
      </c>
      <c r="CI99" t="s">
        <v>202</v>
      </c>
      <c r="CJ99" t="s">
        <v>474</v>
      </c>
      <c r="CK99" t="s">
        <v>525</v>
      </c>
      <c r="CL99" t="s">
        <v>206</v>
      </c>
      <c r="CM99" t="s">
        <v>533</v>
      </c>
      <c r="CN99" t="s">
        <v>525</v>
      </c>
      <c r="CO99" t="s">
        <v>630</v>
      </c>
      <c r="CP99" t="s">
        <v>533</v>
      </c>
      <c r="CQ99" t="s">
        <v>205</v>
      </c>
      <c r="CR99" t="s">
        <v>721</v>
      </c>
      <c r="CS99" t="s">
        <v>512</v>
      </c>
      <c r="CT99" t="s">
        <v>281</v>
      </c>
      <c r="CU99" t="s">
        <v>486</v>
      </c>
      <c r="CV99" t="s">
        <v>512</v>
      </c>
      <c r="CW99" t="s">
        <v>496</v>
      </c>
      <c r="CX99" t="s">
        <v>208</v>
      </c>
      <c r="CY99" t="s">
        <v>512</v>
      </c>
      <c r="CZ99" t="s">
        <v>216</v>
      </c>
      <c r="DA99" t="s">
        <v>522</v>
      </c>
      <c r="DB99" t="s">
        <v>173</v>
      </c>
      <c r="DC99" t="s">
        <v>217</v>
      </c>
      <c r="DD99" t="s">
        <v>633</v>
      </c>
      <c r="DE99" t="s">
        <v>173</v>
      </c>
      <c r="DF99" t="s">
        <v>217</v>
      </c>
      <c r="DG99" t="s">
        <v>633</v>
      </c>
      <c r="DH99" t="s">
        <v>173</v>
      </c>
      <c r="DI99" t="s">
        <v>174</v>
      </c>
      <c r="DJ99" t="s">
        <v>557</v>
      </c>
      <c r="DK99" t="s">
        <v>177</v>
      </c>
      <c r="DL99" t="s">
        <v>281</v>
      </c>
      <c r="DM99" t="s">
        <v>494</v>
      </c>
      <c r="DN99" t="s">
        <v>201</v>
      </c>
      <c r="DO99" t="s">
        <v>281</v>
      </c>
      <c r="DP99" t="s">
        <v>497</v>
      </c>
      <c r="DQ99" t="s">
        <v>207</v>
      </c>
      <c r="DR99" t="s">
        <v>174</v>
      </c>
      <c r="DS99" t="s">
        <v>494</v>
      </c>
      <c r="DT99" t="s">
        <v>183</v>
      </c>
      <c r="DU99" t="s">
        <v>281</v>
      </c>
      <c r="DV99" t="s">
        <v>214</v>
      </c>
      <c r="DW99" t="s">
        <v>183</v>
      </c>
      <c r="DX99" t="s">
        <v>281</v>
      </c>
      <c r="DY99" t="s">
        <v>204</v>
      </c>
      <c r="DZ99" t="s">
        <v>183</v>
      </c>
      <c r="EA99" t="s">
        <v>183</v>
      </c>
      <c r="EB99" t="s">
        <v>214</v>
      </c>
      <c r="EC99" t="s">
        <v>207</v>
      </c>
      <c r="ED99" t="s">
        <v>207</v>
      </c>
      <c r="EE99" t="s">
        <v>497</v>
      </c>
      <c r="EF99" t="s">
        <v>281</v>
      </c>
      <c r="EG99" t="s">
        <v>174</v>
      </c>
      <c r="EH99" t="s">
        <v>557</v>
      </c>
      <c r="EI99" t="s">
        <v>281</v>
      </c>
      <c r="EJ99" t="s">
        <v>496</v>
      </c>
      <c r="EK99" t="s">
        <v>557</v>
      </c>
      <c r="EL99" t="s">
        <v>201</v>
      </c>
      <c r="EM99" t="s">
        <v>201</v>
      </c>
      <c r="EN99" t="s">
        <v>211</v>
      </c>
      <c r="EO99" t="s">
        <v>201</v>
      </c>
      <c r="EP99" t="s">
        <v>207</v>
      </c>
      <c r="EQ99" t="s">
        <v>211</v>
      </c>
      <c r="ER99" t="s">
        <v>201</v>
      </c>
      <c r="ES99" t="s">
        <v>731</v>
      </c>
      <c r="ET99" t="s">
        <v>731</v>
      </c>
      <c r="EU99" t="s">
        <v>205</v>
      </c>
      <c r="EV99" t="s">
        <v>731</v>
      </c>
      <c r="EW99" t="s">
        <v>731</v>
      </c>
      <c r="EX99" t="s">
        <v>174</v>
      </c>
      <c r="EY99">
        <v>100</v>
      </c>
      <c r="EZ99">
        <v>150</v>
      </c>
      <c r="FA99" t="s">
        <v>201</v>
      </c>
      <c r="FB99" t="s">
        <v>388</v>
      </c>
      <c r="FC99" t="s">
        <v>605</v>
      </c>
      <c r="FD99" t="s">
        <v>496</v>
      </c>
      <c r="FE99">
        <v>100</v>
      </c>
      <c r="FF99">
        <v>120</v>
      </c>
      <c r="FG99" t="s">
        <v>201</v>
      </c>
      <c r="FH99" t="s">
        <v>1434</v>
      </c>
    </row>
    <row r="100" spans="1:164" x14ac:dyDescent="0.25">
      <c r="A100">
        <v>4</v>
      </c>
      <c r="B100" t="s">
        <v>164</v>
      </c>
      <c r="C100">
        <v>46</v>
      </c>
      <c r="D100">
        <v>4601</v>
      </c>
      <c r="E100">
        <v>973465112</v>
      </c>
      <c r="F100" t="s">
        <v>165</v>
      </c>
      <c r="G100" t="s">
        <v>166</v>
      </c>
      <c r="H100" t="s">
        <v>167</v>
      </c>
      <c r="I100" t="s">
        <v>1435</v>
      </c>
      <c r="J100" t="e">
        <f>TRIM(#REF!)</f>
        <v>#REF!</v>
      </c>
      <c r="K100" t="e">
        <f>#REF!&amp;#REF!&amp;#REF!</f>
        <v>#REF!</v>
      </c>
      <c r="L100" t="str">
        <f>IFERROR(VLOOKUP(#REF!,工作表1!E:I,2,FALSE),"")</f>
        <v/>
      </c>
      <c r="M100" t="str">
        <f>IFERROR(VLOOKUP(#REF!,工作表1!E:I,3,FALSE),"")</f>
        <v/>
      </c>
      <c r="N100" t="str">
        <f>IFERROR(VLOOKUP(#REF!,工作表1!E:I,4,FALSE),"")</f>
        <v/>
      </c>
      <c r="O100" t="str">
        <f>IFERROR(VLOOKUP(#REF!,工作表1!E:I,5,FALSE),"")</f>
        <v/>
      </c>
      <c r="P100" t="s">
        <v>512</v>
      </c>
      <c r="Q100" t="s">
        <v>604</v>
      </c>
      <c r="R100" t="s">
        <v>556</v>
      </c>
      <c r="T100" t="s">
        <v>612</v>
      </c>
      <c r="U100" t="s">
        <v>604</v>
      </c>
      <c r="V100" t="s">
        <v>556</v>
      </c>
      <c r="X100" t="s">
        <v>512</v>
      </c>
      <c r="Y100" t="s">
        <v>604</v>
      </c>
      <c r="Z100" t="s">
        <v>556</v>
      </c>
      <c r="AB100" t="s">
        <v>182</v>
      </c>
      <c r="AC100" t="s">
        <v>604</v>
      </c>
      <c r="AD100" t="s">
        <v>556</v>
      </c>
      <c r="AF100" t="s">
        <v>176</v>
      </c>
      <c r="AG100" t="s">
        <v>604</v>
      </c>
      <c r="AH100" t="s">
        <v>556</v>
      </c>
      <c r="AJ100" t="s">
        <v>504</v>
      </c>
      <c r="AK100" t="s">
        <v>640</v>
      </c>
      <c r="AL100" t="s">
        <v>1009</v>
      </c>
      <c r="AM100" t="s">
        <v>712</v>
      </c>
      <c r="AN100" t="s">
        <v>501</v>
      </c>
      <c r="AO100" t="s">
        <v>1013</v>
      </c>
      <c r="AP100" t="s">
        <v>1436</v>
      </c>
      <c r="AQ100" t="s">
        <v>300</v>
      </c>
      <c r="AR100" t="s">
        <v>581</v>
      </c>
      <c r="AS100" t="s">
        <v>775</v>
      </c>
      <c r="AT100" t="s">
        <v>901</v>
      </c>
      <c r="AU100" t="s">
        <v>1437</v>
      </c>
      <c r="AV100" t="s">
        <v>581</v>
      </c>
      <c r="AW100" t="s">
        <v>1010</v>
      </c>
      <c r="AX100" t="s">
        <v>901</v>
      </c>
      <c r="AZ100" t="s">
        <v>581</v>
      </c>
      <c r="BA100" t="s">
        <v>938</v>
      </c>
      <c r="BB100" t="s">
        <v>743</v>
      </c>
      <c r="BC100" t="s">
        <v>564</v>
      </c>
      <c r="BD100">
        <v>0</v>
      </c>
      <c r="BE100">
        <v>0</v>
      </c>
      <c r="BF100">
        <v>0</v>
      </c>
      <c r="BG100">
        <v>0</v>
      </c>
      <c r="BH100">
        <v>0</v>
      </c>
      <c r="DI100" t="s">
        <v>604</v>
      </c>
      <c r="DJ100" t="s">
        <v>604</v>
      </c>
      <c r="DK100" t="s">
        <v>604</v>
      </c>
      <c r="DL100" t="s">
        <v>604</v>
      </c>
      <c r="DM100" t="s">
        <v>604</v>
      </c>
      <c r="DN100" t="s">
        <v>604</v>
      </c>
      <c r="DQ100" t="s">
        <v>556</v>
      </c>
      <c r="DT100" t="s">
        <v>556</v>
      </c>
      <c r="DW100" t="s">
        <v>556</v>
      </c>
      <c r="DZ100" t="s">
        <v>556</v>
      </c>
      <c r="EC100" t="s">
        <v>556</v>
      </c>
      <c r="ED100" t="s">
        <v>604</v>
      </c>
      <c r="EE100" t="s">
        <v>604</v>
      </c>
      <c r="EF100" t="s">
        <v>604</v>
      </c>
      <c r="EG100" t="s">
        <v>604</v>
      </c>
      <c r="EH100" t="s">
        <v>604</v>
      </c>
      <c r="EI100" t="s">
        <v>604</v>
      </c>
      <c r="FH100" t="s">
        <v>1438</v>
      </c>
    </row>
    <row r="101" spans="1:164" x14ac:dyDescent="0.25">
      <c r="A101">
        <v>4</v>
      </c>
      <c r="B101" t="s">
        <v>164</v>
      </c>
      <c r="C101">
        <v>46</v>
      </c>
      <c r="D101">
        <v>4601</v>
      </c>
      <c r="E101">
        <v>986847367</v>
      </c>
      <c r="F101" t="s">
        <v>165</v>
      </c>
      <c r="G101" t="s">
        <v>166</v>
      </c>
      <c r="H101" t="s">
        <v>167</v>
      </c>
      <c r="I101" t="s">
        <v>1439</v>
      </c>
      <c r="J101" t="e">
        <f>TRIM(#REF!)</f>
        <v>#REF!</v>
      </c>
      <c r="K101" t="e">
        <f>#REF!&amp;#REF!&amp;#REF!</f>
        <v>#REF!</v>
      </c>
      <c r="L101" t="str">
        <f>IFERROR(VLOOKUP(#REF!,工作表1!E:I,2,FALSE),"")</f>
        <v/>
      </c>
      <c r="M101" t="str">
        <f>IFERROR(VLOOKUP(#REF!,工作表1!E:I,3,FALSE),"")</f>
        <v/>
      </c>
      <c r="N101" t="str">
        <f>IFERROR(VLOOKUP(#REF!,工作表1!E:I,4,FALSE),"")</f>
        <v/>
      </c>
      <c r="O101" t="str">
        <f>IFERROR(VLOOKUP(#REF!,工作表1!E:I,5,FALSE),"")</f>
        <v/>
      </c>
      <c r="P101" t="s">
        <v>821</v>
      </c>
      <c r="Q101" t="s">
        <v>504</v>
      </c>
      <c r="R101" t="s">
        <v>556</v>
      </c>
      <c r="T101" t="s">
        <v>567</v>
      </c>
      <c r="U101" t="s">
        <v>580</v>
      </c>
      <c r="V101" t="s">
        <v>556</v>
      </c>
      <c r="X101" t="s">
        <v>754</v>
      </c>
      <c r="Y101" t="s">
        <v>173</v>
      </c>
      <c r="Z101" t="s">
        <v>556</v>
      </c>
      <c r="AB101" t="s">
        <v>674</v>
      </c>
      <c r="AC101" t="s">
        <v>170</v>
      </c>
      <c r="AD101" t="s">
        <v>556</v>
      </c>
      <c r="AF101" t="s">
        <v>751</v>
      </c>
      <c r="AG101" t="s">
        <v>580</v>
      </c>
      <c r="AH101" t="s">
        <v>556</v>
      </c>
      <c r="AJ101" t="s">
        <v>504</v>
      </c>
      <c r="AK101" t="s">
        <v>1007</v>
      </c>
      <c r="AL101" t="s">
        <v>1400</v>
      </c>
      <c r="AM101" t="s">
        <v>827</v>
      </c>
      <c r="AN101" t="s">
        <v>580</v>
      </c>
      <c r="AO101" t="s">
        <v>1227</v>
      </c>
      <c r="AP101" t="s">
        <v>574</v>
      </c>
      <c r="AQ101" t="s">
        <v>623</v>
      </c>
      <c r="AR101" t="s">
        <v>580</v>
      </c>
      <c r="AS101" t="s">
        <v>937</v>
      </c>
      <c r="AT101" t="s">
        <v>745</v>
      </c>
      <c r="AU101" t="s">
        <v>721</v>
      </c>
      <c r="AV101" t="s">
        <v>473</v>
      </c>
      <c r="AW101" t="s">
        <v>740</v>
      </c>
      <c r="AX101" t="s">
        <v>1440</v>
      </c>
      <c r="AY101" t="s">
        <v>211</v>
      </c>
      <c r="AZ101" t="s">
        <v>473</v>
      </c>
      <c r="BA101" t="s">
        <v>1441</v>
      </c>
      <c r="BB101" t="s">
        <v>1122</v>
      </c>
      <c r="BC101" t="s">
        <v>494</v>
      </c>
      <c r="BD101">
        <v>1353</v>
      </c>
      <c r="BE101">
        <v>1707</v>
      </c>
      <c r="BF101">
        <v>1570</v>
      </c>
      <c r="BG101">
        <v>1743</v>
      </c>
      <c r="BH101">
        <v>1786</v>
      </c>
      <c r="BI101" t="s">
        <v>261</v>
      </c>
      <c r="BJ101" t="s">
        <v>262</v>
      </c>
      <c r="BM101" t="s">
        <v>825</v>
      </c>
      <c r="BN101" t="s">
        <v>508</v>
      </c>
      <c r="BO101" t="s">
        <v>626</v>
      </c>
      <c r="BP101" t="s">
        <v>480</v>
      </c>
      <c r="BQ101" t="s">
        <v>1064</v>
      </c>
      <c r="BR101" t="s">
        <v>580</v>
      </c>
      <c r="BS101" t="s">
        <v>537</v>
      </c>
      <c r="BT101" t="s">
        <v>508</v>
      </c>
      <c r="BU101" t="s">
        <v>1442</v>
      </c>
      <c r="BV101" t="s">
        <v>480</v>
      </c>
      <c r="BW101" t="s">
        <v>1443</v>
      </c>
      <c r="BX101" t="s">
        <v>580</v>
      </c>
      <c r="BY101" t="s">
        <v>604</v>
      </c>
      <c r="BZ101" t="s">
        <v>604</v>
      </c>
      <c r="CA101" t="s">
        <v>604</v>
      </c>
      <c r="CB101" t="s">
        <v>604</v>
      </c>
      <c r="CC101" t="s">
        <v>604</v>
      </c>
      <c r="CD101" t="s">
        <v>604</v>
      </c>
      <c r="CE101" t="s">
        <v>604</v>
      </c>
      <c r="CF101" t="s">
        <v>604</v>
      </c>
      <c r="CG101" t="s">
        <v>604</v>
      </c>
      <c r="CH101" t="s">
        <v>604</v>
      </c>
      <c r="CI101" t="s">
        <v>604</v>
      </c>
      <c r="CJ101" t="s">
        <v>604</v>
      </c>
      <c r="CK101" t="s">
        <v>604</v>
      </c>
      <c r="CL101" t="s">
        <v>604</v>
      </c>
      <c r="CM101" t="s">
        <v>604</v>
      </c>
      <c r="CN101" t="s">
        <v>604</v>
      </c>
      <c r="CO101" t="s">
        <v>604</v>
      </c>
      <c r="CP101" t="s">
        <v>604</v>
      </c>
      <c r="CQ101" t="s">
        <v>604</v>
      </c>
      <c r="CR101" t="s">
        <v>604</v>
      </c>
      <c r="CS101" t="s">
        <v>604</v>
      </c>
      <c r="CT101" t="s">
        <v>604</v>
      </c>
      <c r="CU101" t="s">
        <v>604</v>
      </c>
      <c r="CV101" t="s">
        <v>604</v>
      </c>
      <c r="CW101" t="s">
        <v>604</v>
      </c>
      <c r="CX101" t="s">
        <v>604</v>
      </c>
      <c r="CY101" t="s">
        <v>604</v>
      </c>
      <c r="CZ101" t="s">
        <v>604</v>
      </c>
      <c r="DA101" t="s">
        <v>604</v>
      </c>
      <c r="DB101" t="s">
        <v>604</v>
      </c>
      <c r="DC101" t="s">
        <v>604</v>
      </c>
      <c r="DD101" t="s">
        <v>604</v>
      </c>
      <c r="DE101" t="s">
        <v>604</v>
      </c>
      <c r="DF101" t="s">
        <v>604</v>
      </c>
      <c r="DG101" t="s">
        <v>604</v>
      </c>
      <c r="DH101" t="s">
        <v>604</v>
      </c>
      <c r="DI101" t="s">
        <v>604</v>
      </c>
      <c r="DJ101" t="s">
        <v>604</v>
      </c>
      <c r="DK101" t="s">
        <v>604</v>
      </c>
      <c r="DL101" t="s">
        <v>604</v>
      </c>
      <c r="DM101" t="s">
        <v>604</v>
      </c>
      <c r="DN101" t="s">
        <v>604</v>
      </c>
      <c r="DO101" t="s">
        <v>604</v>
      </c>
      <c r="DP101" t="s">
        <v>604</v>
      </c>
      <c r="DQ101" t="s">
        <v>604</v>
      </c>
      <c r="DR101" t="s">
        <v>604</v>
      </c>
      <c r="DS101" t="s">
        <v>604</v>
      </c>
      <c r="DT101" t="s">
        <v>604</v>
      </c>
      <c r="DU101" t="s">
        <v>604</v>
      </c>
      <c r="DV101" t="s">
        <v>604</v>
      </c>
      <c r="DW101" t="s">
        <v>604</v>
      </c>
      <c r="DX101" t="s">
        <v>604</v>
      </c>
      <c r="DY101" t="s">
        <v>604</v>
      </c>
      <c r="DZ101" t="s">
        <v>604</v>
      </c>
      <c r="EA101" t="s">
        <v>216</v>
      </c>
      <c r="EB101" t="s">
        <v>1015</v>
      </c>
      <c r="EC101" t="s">
        <v>504</v>
      </c>
      <c r="ED101" t="s">
        <v>177</v>
      </c>
      <c r="EE101" t="s">
        <v>632</v>
      </c>
      <c r="EF101" t="s">
        <v>580</v>
      </c>
      <c r="EG101" t="s">
        <v>177</v>
      </c>
      <c r="EH101" t="s">
        <v>1000</v>
      </c>
      <c r="EI101" t="s">
        <v>505</v>
      </c>
      <c r="EJ101" t="s">
        <v>604</v>
      </c>
      <c r="EK101" t="s">
        <v>604</v>
      </c>
      <c r="EL101" t="s">
        <v>604</v>
      </c>
      <c r="EM101" t="s">
        <v>215</v>
      </c>
      <c r="EN101" t="s">
        <v>1444</v>
      </c>
      <c r="EO101" t="s">
        <v>502</v>
      </c>
      <c r="EP101" t="s">
        <v>604</v>
      </c>
      <c r="EQ101" t="s">
        <v>604</v>
      </c>
      <c r="ER101" t="s">
        <v>604</v>
      </c>
      <c r="EV101" t="s">
        <v>604</v>
      </c>
      <c r="EW101" t="s">
        <v>604</v>
      </c>
      <c r="EX101" t="s">
        <v>604</v>
      </c>
      <c r="EY101">
        <v>110</v>
      </c>
      <c r="EZ101">
        <v>80</v>
      </c>
      <c r="FA101" t="s">
        <v>655</v>
      </c>
      <c r="FB101" t="s">
        <v>468</v>
      </c>
      <c r="FC101" t="s">
        <v>388</v>
      </c>
      <c r="FD101" t="s">
        <v>581</v>
      </c>
      <c r="FE101">
        <v>60</v>
      </c>
      <c r="FF101">
        <v>70</v>
      </c>
      <c r="FG101" t="s">
        <v>480</v>
      </c>
      <c r="FH101" t="s">
        <v>1235</v>
      </c>
    </row>
    <row r="102" spans="1:164" x14ac:dyDescent="0.25">
      <c r="A102">
        <v>4</v>
      </c>
      <c r="B102" t="s">
        <v>164</v>
      </c>
      <c r="C102">
        <v>46</v>
      </c>
      <c r="D102">
        <v>4601</v>
      </c>
      <c r="E102">
        <v>974223384</v>
      </c>
      <c r="F102" t="s">
        <v>165</v>
      </c>
      <c r="G102" t="s">
        <v>166</v>
      </c>
      <c r="H102" t="s">
        <v>167</v>
      </c>
      <c r="I102" t="s">
        <v>1445</v>
      </c>
      <c r="J102" t="e">
        <f>TRIM(#REF!)</f>
        <v>#REF!</v>
      </c>
      <c r="K102" t="e">
        <f>#REF!&amp;#REF!&amp;#REF!</f>
        <v>#REF!</v>
      </c>
      <c r="L102" t="str">
        <f>IFERROR(VLOOKUP(#REF!,工作表1!E:I,2,FALSE),"")</f>
        <v/>
      </c>
      <c r="M102" t="str">
        <f>IFERROR(VLOOKUP(#REF!,工作表1!E:I,3,FALSE),"")</f>
        <v/>
      </c>
      <c r="N102" t="str">
        <f>IFERROR(VLOOKUP(#REF!,工作表1!E:I,4,FALSE),"")</f>
        <v/>
      </c>
      <c r="O102" t="str">
        <f>IFERROR(VLOOKUP(#REF!,工作表1!E:I,5,FALSE),"")</f>
        <v/>
      </c>
      <c r="P102" t="s">
        <v>575</v>
      </c>
      <c r="Q102" t="s">
        <v>533</v>
      </c>
      <c r="R102" t="s">
        <v>604</v>
      </c>
      <c r="T102" t="s">
        <v>551</v>
      </c>
      <c r="U102" t="s">
        <v>474</v>
      </c>
      <c r="V102" t="s">
        <v>604</v>
      </c>
      <c r="X102" t="s">
        <v>1446</v>
      </c>
      <c r="Y102" t="s">
        <v>170</v>
      </c>
      <c r="Z102" t="s">
        <v>604</v>
      </c>
      <c r="AB102" t="s">
        <v>572</v>
      </c>
      <c r="AC102" t="s">
        <v>581</v>
      </c>
      <c r="AD102" t="s">
        <v>604</v>
      </c>
      <c r="AF102" t="s">
        <v>552</v>
      </c>
      <c r="AG102" t="s">
        <v>580</v>
      </c>
      <c r="AH102" t="s">
        <v>604</v>
      </c>
      <c r="AJ102" t="s">
        <v>519</v>
      </c>
      <c r="AK102" t="s">
        <v>521</v>
      </c>
      <c r="AL102" t="s">
        <v>511</v>
      </c>
      <c r="AM102" t="s">
        <v>797</v>
      </c>
      <c r="AN102" t="s">
        <v>519</v>
      </c>
      <c r="AO102" t="s">
        <v>1249</v>
      </c>
      <c r="AP102" t="s">
        <v>514</v>
      </c>
      <c r="AQ102" t="s">
        <v>186</v>
      </c>
      <c r="AR102" t="s">
        <v>519</v>
      </c>
      <c r="AS102" t="s">
        <v>667</v>
      </c>
      <c r="AT102" t="s">
        <v>1166</v>
      </c>
      <c r="AU102" t="s">
        <v>351</v>
      </c>
      <c r="AV102" t="s">
        <v>474</v>
      </c>
      <c r="AW102" t="s">
        <v>511</v>
      </c>
      <c r="AX102" t="s">
        <v>1167</v>
      </c>
      <c r="AY102" t="s">
        <v>211</v>
      </c>
      <c r="AZ102" t="s">
        <v>476</v>
      </c>
      <c r="BA102" t="s">
        <v>717</v>
      </c>
      <c r="BB102" t="s">
        <v>775</v>
      </c>
      <c r="BC102" t="s">
        <v>644</v>
      </c>
      <c r="BD102">
        <v>1136</v>
      </c>
      <c r="BE102">
        <v>1311</v>
      </c>
      <c r="BF102">
        <v>1206</v>
      </c>
      <c r="BG102">
        <v>1233</v>
      </c>
      <c r="BH102">
        <v>1191</v>
      </c>
      <c r="BS102" t="s">
        <v>648</v>
      </c>
      <c r="BT102" t="s">
        <v>580</v>
      </c>
      <c r="BU102" t="s">
        <v>826</v>
      </c>
      <c r="BV102" t="s">
        <v>505</v>
      </c>
      <c r="BW102" t="s">
        <v>875</v>
      </c>
      <c r="BX102" t="s">
        <v>480</v>
      </c>
      <c r="BY102" t="s">
        <v>525</v>
      </c>
      <c r="BZ102" t="s">
        <v>266</v>
      </c>
      <c r="CA102" t="s">
        <v>581</v>
      </c>
      <c r="CB102" t="s">
        <v>210</v>
      </c>
      <c r="CC102" t="s">
        <v>1064</v>
      </c>
      <c r="CD102" t="s">
        <v>581</v>
      </c>
      <c r="CE102" t="s">
        <v>525</v>
      </c>
      <c r="CF102" t="s">
        <v>800</v>
      </c>
      <c r="CG102" t="s">
        <v>581</v>
      </c>
      <c r="CH102" t="s">
        <v>207</v>
      </c>
      <c r="CI102" t="s">
        <v>651</v>
      </c>
      <c r="CJ102" t="s">
        <v>505</v>
      </c>
      <c r="CK102" t="s">
        <v>174</v>
      </c>
      <c r="CL102" t="s">
        <v>950</v>
      </c>
      <c r="CM102" t="s">
        <v>505</v>
      </c>
      <c r="CN102" t="s">
        <v>215</v>
      </c>
      <c r="CO102" t="s">
        <v>651</v>
      </c>
      <c r="CP102" t="s">
        <v>505</v>
      </c>
      <c r="CQ102" t="s">
        <v>604</v>
      </c>
      <c r="CR102" t="s">
        <v>604</v>
      </c>
      <c r="CS102" t="s">
        <v>604</v>
      </c>
      <c r="CT102" t="s">
        <v>604</v>
      </c>
      <c r="CU102" t="s">
        <v>604</v>
      </c>
      <c r="CV102" t="s">
        <v>604</v>
      </c>
      <c r="CW102" t="s">
        <v>604</v>
      </c>
      <c r="CX102" t="s">
        <v>604</v>
      </c>
      <c r="CY102" t="s">
        <v>604</v>
      </c>
      <c r="CZ102" t="s">
        <v>210</v>
      </c>
      <c r="DA102" t="s">
        <v>598</v>
      </c>
      <c r="DB102" t="s">
        <v>501</v>
      </c>
      <c r="DC102" t="s">
        <v>177</v>
      </c>
      <c r="DD102" t="s">
        <v>1064</v>
      </c>
      <c r="DE102" t="s">
        <v>501</v>
      </c>
      <c r="DF102" t="s">
        <v>215</v>
      </c>
      <c r="DG102" t="s">
        <v>637</v>
      </c>
      <c r="DH102" t="s">
        <v>501</v>
      </c>
      <c r="DI102" t="s">
        <v>174</v>
      </c>
      <c r="DJ102" t="s">
        <v>263</v>
      </c>
      <c r="DK102" t="s">
        <v>580</v>
      </c>
      <c r="DL102" t="s">
        <v>281</v>
      </c>
      <c r="DM102" t="s">
        <v>633</v>
      </c>
      <c r="DN102" t="s">
        <v>580</v>
      </c>
      <c r="DO102" t="s">
        <v>217</v>
      </c>
      <c r="DP102" t="s">
        <v>797</v>
      </c>
      <c r="DQ102" t="s">
        <v>580</v>
      </c>
      <c r="DR102" t="s">
        <v>201</v>
      </c>
      <c r="DS102" t="s">
        <v>623</v>
      </c>
      <c r="DT102" t="s">
        <v>581</v>
      </c>
      <c r="DU102" t="s">
        <v>177</v>
      </c>
      <c r="DV102" t="s">
        <v>800</v>
      </c>
      <c r="DW102" t="s">
        <v>581</v>
      </c>
      <c r="DX102" t="s">
        <v>177</v>
      </c>
      <c r="DY102" t="s">
        <v>929</v>
      </c>
      <c r="DZ102" t="s">
        <v>480</v>
      </c>
      <c r="EA102" t="s">
        <v>205</v>
      </c>
      <c r="EB102" t="s">
        <v>194</v>
      </c>
      <c r="EC102" t="s">
        <v>505</v>
      </c>
      <c r="ED102" t="s">
        <v>207</v>
      </c>
      <c r="EE102" t="s">
        <v>1015</v>
      </c>
      <c r="EF102" t="s">
        <v>504</v>
      </c>
      <c r="EG102" t="s">
        <v>210</v>
      </c>
      <c r="EH102" t="s">
        <v>649</v>
      </c>
      <c r="EI102" t="s">
        <v>504</v>
      </c>
      <c r="EJ102" t="s">
        <v>207</v>
      </c>
      <c r="EK102" t="s">
        <v>800</v>
      </c>
      <c r="EL102" t="s">
        <v>581</v>
      </c>
      <c r="EM102" t="s">
        <v>216</v>
      </c>
      <c r="EN102" t="s">
        <v>263</v>
      </c>
      <c r="EO102" t="s">
        <v>501</v>
      </c>
      <c r="EP102" t="s">
        <v>217</v>
      </c>
      <c r="EQ102" t="s">
        <v>631</v>
      </c>
      <c r="ER102" t="s">
        <v>501</v>
      </c>
      <c r="ES102" t="s">
        <v>731</v>
      </c>
      <c r="ET102" t="s">
        <v>731</v>
      </c>
      <c r="EU102" t="s">
        <v>608</v>
      </c>
      <c r="EV102" t="s">
        <v>731</v>
      </c>
      <c r="EW102" t="s">
        <v>731</v>
      </c>
      <c r="EX102" t="s">
        <v>581</v>
      </c>
      <c r="EY102">
        <v>110</v>
      </c>
      <c r="EZ102">
        <v>0</v>
      </c>
      <c r="FA102" t="s">
        <v>501</v>
      </c>
      <c r="FB102" t="s">
        <v>772</v>
      </c>
      <c r="FC102" t="s">
        <v>300</v>
      </c>
      <c r="FD102" t="s">
        <v>580</v>
      </c>
      <c r="FE102">
        <v>0</v>
      </c>
      <c r="FF102">
        <v>0</v>
      </c>
      <c r="FG102" t="s">
        <v>480</v>
      </c>
      <c r="FH102" t="s">
        <v>1447</v>
      </c>
    </row>
    <row r="103" spans="1:164" x14ac:dyDescent="0.25">
      <c r="A103">
        <v>4</v>
      </c>
      <c r="B103" t="s">
        <v>164</v>
      </c>
      <c r="C103">
        <v>46</v>
      </c>
      <c r="D103">
        <v>4601</v>
      </c>
      <c r="E103">
        <v>973448889</v>
      </c>
      <c r="F103" t="s">
        <v>165</v>
      </c>
      <c r="G103" t="s">
        <v>166</v>
      </c>
      <c r="H103" t="s">
        <v>167</v>
      </c>
      <c r="I103" t="s">
        <v>1448</v>
      </c>
      <c r="J103" t="e">
        <f>TRIM(#REF!)</f>
        <v>#REF!</v>
      </c>
      <c r="K103" t="e">
        <f>#REF!&amp;#REF!&amp;#REF!</f>
        <v>#REF!</v>
      </c>
      <c r="L103" t="str">
        <f>IFERROR(VLOOKUP(#REF!,工作表1!E:I,2,FALSE),"")</f>
        <v/>
      </c>
      <c r="M103" t="str">
        <f>IFERROR(VLOOKUP(#REF!,工作表1!E:I,3,FALSE),"")</f>
        <v/>
      </c>
      <c r="N103" t="str">
        <f>IFERROR(VLOOKUP(#REF!,工作表1!E:I,4,FALSE),"")</f>
        <v/>
      </c>
      <c r="O103" t="str">
        <f>IFERROR(VLOOKUP(#REF!,工作表1!E:I,5,FALSE),"")</f>
        <v/>
      </c>
      <c r="P103" t="s">
        <v>1446</v>
      </c>
      <c r="Q103" t="s">
        <v>480</v>
      </c>
      <c r="R103" t="s">
        <v>604</v>
      </c>
      <c r="T103" t="s">
        <v>572</v>
      </c>
      <c r="U103" t="s">
        <v>501</v>
      </c>
      <c r="V103" t="s">
        <v>604</v>
      </c>
      <c r="X103" t="s">
        <v>1004</v>
      </c>
      <c r="Y103" t="s">
        <v>480</v>
      </c>
      <c r="Z103" t="s">
        <v>604</v>
      </c>
      <c r="AB103" t="s">
        <v>1004</v>
      </c>
      <c r="AC103" t="s">
        <v>581</v>
      </c>
      <c r="AD103" t="s">
        <v>556</v>
      </c>
      <c r="AF103" t="s">
        <v>1321</v>
      </c>
      <c r="AG103" t="s">
        <v>501</v>
      </c>
      <c r="AH103" t="s">
        <v>556</v>
      </c>
      <c r="AJ103" t="s">
        <v>612</v>
      </c>
      <c r="AK103" t="s">
        <v>808</v>
      </c>
      <c r="AL103" t="s">
        <v>984</v>
      </c>
      <c r="AM103" t="s">
        <v>642</v>
      </c>
      <c r="AN103" t="s">
        <v>182</v>
      </c>
      <c r="AO103" t="s">
        <v>1449</v>
      </c>
      <c r="AP103" t="s">
        <v>619</v>
      </c>
      <c r="AQ103" t="s">
        <v>953</v>
      </c>
      <c r="AR103" t="s">
        <v>182</v>
      </c>
      <c r="AS103" t="s">
        <v>516</v>
      </c>
      <c r="AT103" t="s">
        <v>770</v>
      </c>
      <c r="AU103" t="s">
        <v>712</v>
      </c>
      <c r="AV103" t="s">
        <v>612</v>
      </c>
      <c r="AW103" t="s">
        <v>514</v>
      </c>
      <c r="AX103" t="s">
        <v>985</v>
      </c>
      <c r="AY103" t="s">
        <v>644</v>
      </c>
      <c r="AZ103" t="s">
        <v>187</v>
      </c>
      <c r="BA103" t="s">
        <v>984</v>
      </c>
      <c r="BB103" t="s">
        <v>1073</v>
      </c>
      <c r="BC103" t="s">
        <v>633</v>
      </c>
      <c r="BD103">
        <v>1075</v>
      </c>
      <c r="BE103">
        <v>1321</v>
      </c>
      <c r="BF103">
        <v>1363</v>
      </c>
      <c r="BG103">
        <v>1213</v>
      </c>
      <c r="BH103">
        <v>1781</v>
      </c>
      <c r="BY103" t="s">
        <v>217</v>
      </c>
      <c r="BZ103" t="s">
        <v>649</v>
      </c>
      <c r="CA103" t="s">
        <v>480</v>
      </c>
      <c r="CB103" t="s">
        <v>216</v>
      </c>
      <c r="CC103" t="s">
        <v>632</v>
      </c>
      <c r="CD103" t="s">
        <v>580</v>
      </c>
      <c r="CE103" t="s">
        <v>215</v>
      </c>
      <c r="CF103" t="s">
        <v>630</v>
      </c>
      <c r="CG103" t="s">
        <v>480</v>
      </c>
      <c r="CH103" t="s">
        <v>604</v>
      </c>
      <c r="CI103" t="s">
        <v>604</v>
      </c>
      <c r="CJ103" t="s">
        <v>604</v>
      </c>
      <c r="CK103" t="s">
        <v>604</v>
      </c>
      <c r="CL103" t="s">
        <v>604</v>
      </c>
      <c r="CM103" t="s">
        <v>604</v>
      </c>
      <c r="CN103" t="s">
        <v>604</v>
      </c>
      <c r="CO103" t="s">
        <v>604</v>
      </c>
      <c r="CP103" t="s">
        <v>604</v>
      </c>
      <c r="CQ103" t="s">
        <v>595</v>
      </c>
      <c r="CR103" t="s">
        <v>204</v>
      </c>
      <c r="CS103" t="s">
        <v>480</v>
      </c>
      <c r="CT103" t="s">
        <v>524</v>
      </c>
      <c r="CU103" t="s">
        <v>929</v>
      </c>
      <c r="CV103" t="s">
        <v>480</v>
      </c>
      <c r="CW103" t="s">
        <v>595</v>
      </c>
      <c r="CX103" t="s">
        <v>301</v>
      </c>
      <c r="CY103" t="s">
        <v>480</v>
      </c>
      <c r="CZ103" t="s">
        <v>203</v>
      </c>
      <c r="DA103" t="s">
        <v>1064</v>
      </c>
      <c r="DB103" t="s">
        <v>504</v>
      </c>
      <c r="DC103" t="s">
        <v>215</v>
      </c>
      <c r="DD103" t="s">
        <v>631</v>
      </c>
      <c r="DE103" t="s">
        <v>504</v>
      </c>
      <c r="DF103" t="s">
        <v>524</v>
      </c>
      <c r="DG103" t="s">
        <v>629</v>
      </c>
      <c r="DH103" t="s">
        <v>580</v>
      </c>
      <c r="DI103" t="s">
        <v>205</v>
      </c>
      <c r="DJ103" t="s">
        <v>1450</v>
      </c>
      <c r="DK103" t="s">
        <v>502</v>
      </c>
      <c r="DL103" t="s">
        <v>207</v>
      </c>
      <c r="DM103" t="s">
        <v>351</v>
      </c>
      <c r="DN103" t="s">
        <v>608</v>
      </c>
      <c r="DO103" t="s">
        <v>216</v>
      </c>
      <c r="DP103" t="s">
        <v>633</v>
      </c>
      <c r="DQ103" t="s">
        <v>502</v>
      </c>
      <c r="DR103" t="s">
        <v>174</v>
      </c>
      <c r="DS103" t="s">
        <v>630</v>
      </c>
      <c r="DT103" t="s">
        <v>505</v>
      </c>
      <c r="DU103" t="s">
        <v>210</v>
      </c>
      <c r="DV103" t="s">
        <v>389</v>
      </c>
      <c r="DW103" t="s">
        <v>505</v>
      </c>
      <c r="DX103" t="s">
        <v>174</v>
      </c>
      <c r="DY103" t="s">
        <v>186</v>
      </c>
      <c r="DZ103" t="s">
        <v>505</v>
      </c>
      <c r="EA103" t="s">
        <v>212</v>
      </c>
      <c r="EB103" t="s">
        <v>827</v>
      </c>
      <c r="EC103" t="s">
        <v>505</v>
      </c>
      <c r="ED103" t="s">
        <v>203</v>
      </c>
      <c r="EE103" t="s">
        <v>631</v>
      </c>
      <c r="EF103" t="s">
        <v>505</v>
      </c>
      <c r="EG103" t="s">
        <v>588</v>
      </c>
      <c r="EH103" t="s">
        <v>1426</v>
      </c>
      <c r="EI103" t="s">
        <v>505</v>
      </c>
      <c r="EJ103" t="s">
        <v>207</v>
      </c>
      <c r="EK103" t="s">
        <v>649</v>
      </c>
      <c r="EL103" t="s">
        <v>581</v>
      </c>
      <c r="EM103" t="s">
        <v>210</v>
      </c>
      <c r="EN103" t="s">
        <v>1347</v>
      </c>
      <c r="EO103" t="s">
        <v>480</v>
      </c>
      <c r="EP103" t="s">
        <v>212</v>
      </c>
      <c r="EQ103" t="s">
        <v>797</v>
      </c>
      <c r="ER103" t="s">
        <v>504</v>
      </c>
      <c r="FH103" t="s">
        <v>1438</v>
      </c>
    </row>
    <row r="104" spans="1:164" x14ac:dyDescent="0.25">
      <c r="A104">
        <v>4</v>
      </c>
      <c r="B104" t="s">
        <v>164</v>
      </c>
      <c r="C104">
        <v>46</v>
      </c>
      <c r="D104">
        <v>4601</v>
      </c>
      <c r="E104">
        <v>974738619</v>
      </c>
      <c r="F104" t="s">
        <v>165</v>
      </c>
      <c r="G104" t="s">
        <v>166</v>
      </c>
      <c r="H104" t="s">
        <v>167</v>
      </c>
      <c r="I104" t="s">
        <v>1451</v>
      </c>
      <c r="J104" t="e">
        <f>TRIM(#REF!)</f>
        <v>#REF!</v>
      </c>
      <c r="K104" t="e">
        <f>#REF!&amp;#REF!&amp;#REF!</f>
        <v>#REF!</v>
      </c>
      <c r="L104" t="str">
        <f>IFERROR(VLOOKUP(#REF!,工作表1!E:I,2,FALSE),"")</f>
        <v/>
      </c>
      <c r="M104" t="str">
        <f>IFERROR(VLOOKUP(#REF!,工作表1!E:I,3,FALSE),"")</f>
        <v/>
      </c>
      <c r="N104" t="str">
        <f>IFERROR(VLOOKUP(#REF!,工作表1!E:I,4,FALSE),"")</f>
        <v/>
      </c>
      <c r="O104" t="str">
        <f>IFERROR(VLOOKUP(#REF!,工作表1!E:I,5,FALSE),"")</f>
        <v/>
      </c>
      <c r="P104" t="s">
        <v>752</v>
      </c>
      <c r="Q104" t="s">
        <v>581</v>
      </c>
      <c r="R104" t="s">
        <v>580</v>
      </c>
      <c r="T104" t="s">
        <v>1452</v>
      </c>
      <c r="U104" t="s">
        <v>581</v>
      </c>
      <c r="V104" t="s">
        <v>505</v>
      </c>
      <c r="X104" t="s">
        <v>1453</v>
      </c>
      <c r="Y104" t="s">
        <v>580</v>
      </c>
      <c r="Z104" t="s">
        <v>608</v>
      </c>
      <c r="AB104" t="s">
        <v>1454</v>
      </c>
      <c r="AC104" t="s">
        <v>504</v>
      </c>
      <c r="AD104" t="s">
        <v>608</v>
      </c>
      <c r="AF104" t="s">
        <v>960</v>
      </c>
      <c r="AG104" t="s">
        <v>502</v>
      </c>
      <c r="AH104" t="s">
        <v>480</v>
      </c>
      <c r="AJ104" t="s">
        <v>524</v>
      </c>
      <c r="AK104" t="s">
        <v>1136</v>
      </c>
      <c r="AL104" t="s">
        <v>786</v>
      </c>
      <c r="AM104" t="s">
        <v>560</v>
      </c>
      <c r="AN104" t="s">
        <v>524</v>
      </c>
      <c r="AO104" t="s">
        <v>1039</v>
      </c>
      <c r="AP104" t="s">
        <v>1455</v>
      </c>
      <c r="AQ104" t="s">
        <v>558</v>
      </c>
      <c r="AR104" t="s">
        <v>216</v>
      </c>
      <c r="AS104" t="s">
        <v>823</v>
      </c>
      <c r="AT104" t="s">
        <v>1456</v>
      </c>
      <c r="AU104" t="s">
        <v>560</v>
      </c>
      <c r="AV104" t="s">
        <v>215</v>
      </c>
      <c r="AW104" t="s">
        <v>1457</v>
      </c>
      <c r="AX104" t="s">
        <v>1157</v>
      </c>
      <c r="AY104" t="s">
        <v>211</v>
      </c>
      <c r="AZ104" t="s">
        <v>523</v>
      </c>
      <c r="BA104" t="s">
        <v>1137</v>
      </c>
      <c r="BB104" t="s">
        <v>762</v>
      </c>
      <c r="BC104" t="s">
        <v>560</v>
      </c>
      <c r="BD104">
        <v>1970</v>
      </c>
      <c r="BE104">
        <v>1983</v>
      </c>
      <c r="BF104">
        <v>1994</v>
      </c>
      <c r="BG104">
        <v>1976</v>
      </c>
      <c r="BH104">
        <v>1998</v>
      </c>
      <c r="BI104" t="s">
        <v>349</v>
      </c>
      <c r="BJ104" t="s">
        <v>350</v>
      </c>
      <c r="BK104" t="s">
        <v>630</v>
      </c>
      <c r="BL104" t="s">
        <v>476</v>
      </c>
      <c r="BQ104" t="s">
        <v>598</v>
      </c>
      <c r="BR104" t="s">
        <v>505</v>
      </c>
      <c r="BS104" t="s">
        <v>813</v>
      </c>
      <c r="BT104" t="s">
        <v>969</v>
      </c>
      <c r="BU104" t="s">
        <v>1458</v>
      </c>
      <c r="BV104" t="s">
        <v>549</v>
      </c>
      <c r="BW104" t="s">
        <v>433</v>
      </c>
      <c r="BX104" t="s">
        <v>552</v>
      </c>
      <c r="DI104" t="s">
        <v>201</v>
      </c>
      <c r="DJ104" t="s">
        <v>560</v>
      </c>
      <c r="DK104" t="s">
        <v>972</v>
      </c>
      <c r="DL104" t="s">
        <v>205</v>
      </c>
      <c r="DM104" t="s">
        <v>562</v>
      </c>
      <c r="DN104" t="s">
        <v>573</v>
      </c>
      <c r="DO104" t="s">
        <v>205</v>
      </c>
      <c r="DP104" t="s">
        <v>560</v>
      </c>
      <c r="DQ104" t="s">
        <v>552</v>
      </c>
      <c r="DR104" t="s">
        <v>205</v>
      </c>
      <c r="DS104" t="s">
        <v>562</v>
      </c>
      <c r="DT104" t="s">
        <v>1004</v>
      </c>
      <c r="DU104" t="s">
        <v>174</v>
      </c>
      <c r="DV104" t="s">
        <v>560</v>
      </c>
      <c r="DW104" t="s">
        <v>1004</v>
      </c>
      <c r="DX104" t="s">
        <v>174</v>
      </c>
      <c r="DY104" t="s">
        <v>558</v>
      </c>
      <c r="DZ104" t="s">
        <v>1004</v>
      </c>
      <c r="EA104" t="s">
        <v>205</v>
      </c>
      <c r="EB104" t="s">
        <v>560</v>
      </c>
      <c r="EC104" t="s">
        <v>570</v>
      </c>
      <c r="ED104" t="s">
        <v>281</v>
      </c>
      <c r="EE104" t="s">
        <v>562</v>
      </c>
      <c r="EF104" t="s">
        <v>551</v>
      </c>
      <c r="EG104" t="s">
        <v>207</v>
      </c>
      <c r="EH104" t="s">
        <v>562</v>
      </c>
      <c r="EI104" t="s">
        <v>864</v>
      </c>
      <c r="EJ104" t="s">
        <v>496</v>
      </c>
      <c r="EK104" t="s">
        <v>562</v>
      </c>
      <c r="EL104" t="s">
        <v>1296</v>
      </c>
      <c r="EM104" t="s">
        <v>174</v>
      </c>
      <c r="EN104" t="s">
        <v>558</v>
      </c>
      <c r="EO104" t="s">
        <v>972</v>
      </c>
      <c r="EP104" t="s">
        <v>281</v>
      </c>
      <c r="EQ104" t="s">
        <v>558</v>
      </c>
      <c r="ER104" t="s">
        <v>1004</v>
      </c>
      <c r="ES104" t="s">
        <v>731</v>
      </c>
      <c r="ET104" t="s">
        <v>300</v>
      </c>
      <c r="EU104" t="s">
        <v>954</v>
      </c>
      <c r="EV104" t="s">
        <v>301</v>
      </c>
      <c r="EW104" t="s">
        <v>190</v>
      </c>
      <c r="EX104" t="s">
        <v>1289</v>
      </c>
      <c r="EY104">
        <v>80</v>
      </c>
      <c r="EZ104">
        <v>50</v>
      </c>
      <c r="FA104" t="s">
        <v>858</v>
      </c>
      <c r="FB104" t="s">
        <v>468</v>
      </c>
      <c r="FC104" t="s">
        <v>306</v>
      </c>
      <c r="FD104" t="s">
        <v>1005</v>
      </c>
      <c r="FE104">
        <v>100</v>
      </c>
      <c r="FF104">
        <v>80</v>
      </c>
      <c r="FG104" t="s">
        <v>1288</v>
      </c>
      <c r="FH104" t="s">
        <v>1459</v>
      </c>
    </row>
    <row r="105" spans="1:164" x14ac:dyDescent="0.25">
      <c r="A105">
        <v>4</v>
      </c>
      <c r="B105" t="s">
        <v>164</v>
      </c>
      <c r="C105">
        <v>46</v>
      </c>
      <c r="D105">
        <v>4601</v>
      </c>
      <c r="E105">
        <v>974738074</v>
      </c>
      <c r="F105" t="s">
        <v>165</v>
      </c>
      <c r="G105" t="s">
        <v>166</v>
      </c>
      <c r="H105" t="s">
        <v>167</v>
      </c>
      <c r="I105" t="s">
        <v>1460</v>
      </c>
      <c r="J105" t="e">
        <f>TRIM(#REF!)</f>
        <v>#REF!</v>
      </c>
      <c r="K105" t="e">
        <f>#REF!&amp;#REF!&amp;#REF!</f>
        <v>#REF!</v>
      </c>
      <c r="L105" t="str">
        <f>IFERROR(VLOOKUP(#REF!,工作表1!E:I,2,FALSE),"")</f>
        <v/>
      </c>
      <c r="M105" t="str">
        <f>IFERROR(VLOOKUP(#REF!,工作表1!E:I,3,FALSE),"")</f>
        <v/>
      </c>
      <c r="N105" t="str">
        <f>IFERROR(VLOOKUP(#REF!,工作表1!E:I,4,FALSE),"")</f>
        <v/>
      </c>
      <c r="O105" t="str">
        <f>IFERROR(VLOOKUP(#REF!,工作表1!E:I,5,FALSE),"")</f>
        <v/>
      </c>
      <c r="P105" t="s">
        <v>695</v>
      </c>
      <c r="Q105" t="s">
        <v>502</v>
      </c>
      <c r="R105" t="s">
        <v>529</v>
      </c>
      <c r="T105" t="s">
        <v>919</v>
      </c>
      <c r="U105" t="s">
        <v>505</v>
      </c>
      <c r="V105" t="s">
        <v>476</v>
      </c>
      <c r="X105" t="s">
        <v>921</v>
      </c>
      <c r="Y105" t="s">
        <v>481</v>
      </c>
      <c r="Z105" t="s">
        <v>473</v>
      </c>
      <c r="AB105" t="s">
        <v>1331</v>
      </c>
      <c r="AC105" t="s">
        <v>655</v>
      </c>
      <c r="AD105" t="s">
        <v>529</v>
      </c>
      <c r="AF105" t="s">
        <v>909</v>
      </c>
      <c r="AG105" t="s">
        <v>530</v>
      </c>
      <c r="AH105" t="s">
        <v>173</v>
      </c>
      <c r="AJ105" t="s">
        <v>489</v>
      </c>
      <c r="AK105" t="s">
        <v>193</v>
      </c>
      <c r="AL105" t="s">
        <v>782</v>
      </c>
      <c r="AM105" t="s">
        <v>497</v>
      </c>
      <c r="AN105" t="s">
        <v>179</v>
      </c>
      <c r="AO105" t="s">
        <v>493</v>
      </c>
      <c r="AP105" t="s">
        <v>1372</v>
      </c>
      <c r="AQ105" t="s">
        <v>214</v>
      </c>
      <c r="AR105" t="s">
        <v>179</v>
      </c>
      <c r="AS105" t="s">
        <v>794</v>
      </c>
      <c r="AT105" t="s">
        <v>625</v>
      </c>
      <c r="AU105" t="s">
        <v>558</v>
      </c>
      <c r="AV105" t="s">
        <v>512</v>
      </c>
      <c r="AW105" t="s">
        <v>185</v>
      </c>
      <c r="AX105" t="s">
        <v>1166</v>
      </c>
      <c r="AY105" t="s">
        <v>562</v>
      </c>
      <c r="AZ105" t="s">
        <v>519</v>
      </c>
      <c r="BA105" t="s">
        <v>491</v>
      </c>
      <c r="BB105" t="s">
        <v>616</v>
      </c>
      <c r="BC105" t="s">
        <v>301</v>
      </c>
      <c r="BD105">
        <v>1560</v>
      </c>
      <c r="BE105">
        <v>1643</v>
      </c>
      <c r="BF105">
        <v>1637</v>
      </c>
      <c r="BG105">
        <v>1636</v>
      </c>
      <c r="BH105">
        <v>1632</v>
      </c>
      <c r="BY105" t="s">
        <v>177</v>
      </c>
      <c r="BZ105" t="s">
        <v>486</v>
      </c>
      <c r="CA105" t="s">
        <v>525</v>
      </c>
      <c r="CB105" t="s">
        <v>207</v>
      </c>
      <c r="CC105" t="s">
        <v>494</v>
      </c>
      <c r="CD105" t="s">
        <v>212</v>
      </c>
      <c r="CE105" t="s">
        <v>281</v>
      </c>
      <c r="CF105" t="s">
        <v>214</v>
      </c>
      <c r="CG105" t="s">
        <v>203</v>
      </c>
      <c r="CH105" t="s">
        <v>281</v>
      </c>
      <c r="CI105" t="s">
        <v>211</v>
      </c>
      <c r="CJ105" t="s">
        <v>216</v>
      </c>
      <c r="CK105" t="s">
        <v>174</v>
      </c>
      <c r="CL105" t="s">
        <v>214</v>
      </c>
      <c r="CM105" t="s">
        <v>210</v>
      </c>
      <c r="CN105" t="s">
        <v>201</v>
      </c>
      <c r="CO105" t="s">
        <v>202</v>
      </c>
      <c r="CP105" t="s">
        <v>216</v>
      </c>
      <c r="CQ105" t="s">
        <v>177</v>
      </c>
      <c r="CR105" t="s">
        <v>214</v>
      </c>
      <c r="CS105" t="s">
        <v>174</v>
      </c>
      <c r="CT105" t="s">
        <v>207</v>
      </c>
      <c r="CU105" t="s">
        <v>566</v>
      </c>
      <c r="CV105" t="s">
        <v>174</v>
      </c>
      <c r="CW105" t="s">
        <v>177</v>
      </c>
      <c r="CX105" t="s">
        <v>213</v>
      </c>
      <c r="CY105" t="s">
        <v>174</v>
      </c>
      <c r="CZ105" t="s">
        <v>216</v>
      </c>
      <c r="DA105" t="s">
        <v>204</v>
      </c>
      <c r="DB105" t="s">
        <v>217</v>
      </c>
      <c r="DC105" t="s">
        <v>177</v>
      </c>
      <c r="DD105" t="s">
        <v>213</v>
      </c>
      <c r="DE105" t="s">
        <v>217</v>
      </c>
      <c r="DF105" t="s">
        <v>177</v>
      </c>
      <c r="DG105" t="s">
        <v>202</v>
      </c>
      <c r="DH105" t="s">
        <v>525</v>
      </c>
      <c r="FH105" t="s">
        <v>1461</v>
      </c>
    </row>
    <row r="106" spans="1:164" x14ac:dyDescent="0.25">
      <c r="A106">
        <v>4</v>
      </c>
      <c r="B106" t="s">
        <v>164</v>
      </c>
      <c r="C106">
        <v>46</v>
      </c>
      <c r="D106">
        <v>4601</v>
      </c>
      <c r="E106">
        <v>974738155</v>
      </c>
      <c r="F106" t="s">
        <v>165</v>
      </c>
      <c r="G106" t="s">
        <v>166</v>
      </c>
      <c r="H106" t="s">
        <v>167</v>
      </c>
      <c r="I106" t="s">
        <v>1462</v>
      </c>
      <c r="J106" t="e">
        <f>TRIM(#REF!)</f>
        <v>#REF!</v>
      </c>
      <c r="K106" t="e">
        <f>#REF!&amp;#REF!&amp;#REF!</f>
        <v>#REF!</v>
      </c>
      <c r="L106" t="str">
        <f>IFERROR(VLOOKUP(#REF!,工作表1!E:I,2,FALSE),"")</f>
        <v/>
      </c>
      <c r="M106" t="str">
        <f>IFERROR(VLOOKUP(#REF!,工作表1!E:I,3,FALSE),"")</f>
        <v/>
      </c>
      <c r="N106" t="str">
        <f>IFERROR(VLOOKUP(#REF!,工作表1!E:I,4,FALSE),"")</f>
        <v/>
      </c>
      <c r="O106" t="str">
        <f>IFERROR(VLOOKUP(#REF!,工作表1!E:I,5,FALSE),"")</f>
        <v/>
      </c>
      <c r="P106" t="s">
        <v>476</v>
      </c>
      <c r="Q106" t="s">
        <v>604</v>
      </c>
      <c r="R106" t="s">
        <v>604</v>
      </c>
      <c r="T106" t="s">
        <v>476</v>
      </c>
      <c r="U106" t="s">
        <v>604</v>
      </c>
      <c r="V106" t="s">
        <v>556</v>
      </c>
      <c r="AJ106" t="s">
        <v>1463</v>
      </c>
      <c r="AK106" t="s">
        <v>522</v>
      </c>
      <c r="AL106" t="s">
        <v>206</v>
      </c>
      <c r="AM106" t="s">
        <v>953</v>
      </c>
      <c r="AN106" t="s">
        <v>508</v>
      </c>
      <c r="AO106" t="s">
        <v>186</v>
      </c>
      <c r="AP106" t="s">
        <v>598</v>
      </c>
      <c r="AQ106" t="s">
        <v>712</v>
      </c>
      <c r="AR106" t="s">
        <v>1464</v>
      </c>
      <c r="AS106" t="s">
        <v>300</v>
      </c>
      <c r="AT106" t="s">
        <v>300</v>
      </c>
      <c r="BD106">
        <v>737</v>
      </c>
      <c r="BE106">
        <v>567</v>
      </c>
      <c r="BF106">
        <v>0</v>
      </c>
      <c r="BY106" t="s">
        <v>604</v>
      </c>
      <c r="BZ106" t="s">
        <v>604</v>
      </c>
      <c r="CA106" t="s">
        <v>604</v>
      </c>
      <c r="CB106" t="s">
        <v>604</v>
      </c>
      <c r="CC106" t="s">
        <v>604</v>
      </c>
      <c r="CD106" t="s">
        <v>604</v>
      </c>
      <c r="CE106" t="s">
        <v>604</v>
      </c>
      <c r="CF106" t="s">
        <v>604</v>
      </c>
      <c r="CG106" t="s">
        <v>604</v>
      </c>
    </row>
    <row r="107" spans="1:164" x14ac:dyDescent="0.25">
      <c r="A107">
        <v>4</v>
      </c>
      <c r="B107" t="s">
        <v>164</v>
      </c>
      <c r="C107">
        <v>46</v>
      </c>
      <c r="D107">
        <v>4601</v>
      </c>
      <c r="E107">
        <v>974738643</v>
      </c>
      <c r="F107" t="s">
        <v>165</v>
      </c>
      <c r="G107" t="s">
        <v>166</v>
      </c>
      <c r="H107" t="s">
        <v>167</v>
      </c>
      <c r="I107" t="s">
        <v>1465</v>
      </c>
      <c r="J107" t="e">
        <f>TRIM(#REF!)</f>
        <v>#REF!</v>
      </c>
      <c r="K107" t="e">
        <f>#REF!&amp;#REF!&amp;#REF!</f>
        <v>#REF!</v>
      </c>
      <c r="L107" t="str">
        <f>IFERROR(VLOOKUP(#REF!,工作表1!E:I,2,FALSE),"")</f>
        <v/>
      </c>
      <c r="M107" t="str">
        <f>IFERROR(VLOOKUP(#REF!,工作表1!E:I,3,FALSE),"")</f>
        <v/>
      </c>
      <c r="N107" t="str">
        <f>IFERROR(VLOOKUP(#REF!,工作表1!E:I,4,FALSE),"")</f>
        <v/>
      </c>
      <c r="O107" t="str">
        <f>IFERROR(VLOOKUP(#REF!,工作表1!E:I,5,FALSE),"")</f>
        <v/>
      </c>
      <c r="P107" t="s">
        <v>171</v>
      </c>
      <c r="Q107" t="s">
        <v>604</v>
      </c>
      <c r="R107" t="s">
        <v>556</v>
      </c>
      <c r="T107" t="s">
        <v>588</v>
      </c>
      <c r="U107" t="s">
        <v>604</v>
      </c>
      <c r="V107" t="s">
        <v>556</v>
      </c>
      <c r="X107" t="s">
        <v>524</v>
      </c>
      <c r="Y107" t="s">
        <v>604</v>
      </c>
      <c r="Z107" t="s">
        <v>556</v>
      </c>
      <c r="AB107" t="s">
        <v>524</v>
      </c>
      <c r="AC107" t="s">
        <v>604</v>
      </c>
      <c r="AD107" t="s">
        <v>556</v>
      </c>
      <c r="AF107" t="s">
        <v>212</v>
      </c>
      <c r="AG107" t="s">
        <v>604</v>
      </c>
      <c r="AH107" t="s">
        <v>556</v>
      </c>
      <c r="AJ107" t="s">
        <v>170</v>
      </c>
      <c r="AK107" t="s">
        <v>775</v>
      </c>
      <c r="AL107" t="s">
        <v>1013</v>
      </c>
      <c r="AM107" t="s">
        <v>1441</v>
      </c>
      <c r="AN107" t="s">
        <v>504</v>
      </c>
      <c r="AO107" t="s">
        <v>1195</v>
      </c>
      <c r="AP107" t="s">
        <v>605</v>
      </c>
      <c r="AQ107" t="s">
        <v>1233</v>
      </c>
      <c r="AR107" t="s">
        <v>480</v>
      </c>
      <c r="AS107" t="s">
        <v>1466</v>
      </c>
      <c r="AT107" t="s">
        <v>1200</v>
      </c>
      <c r="AU107" t="s">
        <v>1013</v>
      </c>
      <c r="AV107" t="s">
        <v>580</v>
      </c>
      <c r="AW107" t="s">
        <v>574</v>
      </c>
      <c r="AX107" t="s">
        <v>1200</v>
      </c>
      <c r="AY107" t="s">
        <v>717</v>
      </c>
      <c r="AZ107" t="s">
        <v>504</v>
      </c>
      <c r="BA107" t="s">
        <v>1009</v>
      </c>
      <c r="BB107" t="s">
        <v>539</v>
      </c>
      <c r="BC107" t="s">
        <v>711</v>
      </c>
      <c r="BD107">
        <v>0</v>
      </c>
      <c r="BE107">
        <v>0</v>
      </c>
      <c r="BF107">
        <v>0</v>
      </c>
      <c r="BG107">
        <v>0</v>
      </c>
      <c r="BH107">
        <v>0</v>
      </c>
      <c r="CJ107" t="s">
        <v>556</v>
      </c>
      <c r="CM107" t="s">
        <v>556</v>
      </c>
      <c r="CP107" t="s">
        <v>556</v>
      </c>
      <c r="DR107" t="s">
        <v>604</v>
      </c>
      <c r="DS107" t="s">
        <v>604</v>
      </c>
      <c r="DT107" t="s">
        <v>604</v>
      </c>
      <c r="DU107" t="s">
        <v>604</v>
      </c>
      <c r="DV107" t="s">
        <v>604</v>
      </c>
      <c r="DW107" t="s">
        <v>604</v>
      </c>
      <c r="DX107" t="s">
        <v>604</v>
      </c>
      <c r="DY107" t="s">
        <v>604</v>
      </c>
      <c r="DZ107" t="s">
        <v>604</v>
      </c>
      <c r="FH107" t="s">
        <v>1467</v>
      </c>
    </row>
    <row r="108" spans="1:164" x14ac:dyDescent="0.25">
      <c r="A108">
        <v>4</v>
      </c>
      <c r="B108" t="s">
        <v>164</v>
      </c>
      <c r="C108">
        <v>46</v>
      </c>
      <c r="D108">
        <v>4601</v>
      </c>
      <c r="E108">
        <v>874738492</v>
      </c>
      <c r="F108" t="s">
        <v>165</v>
      </c>
      <c r="G108" t="s">
        <v>166</v>
      </c>
      <c r="H108" t="s">
        <v>167</v>
      </c>
      <c r="I108" t="s">
        <v>1468</v>
      </c>
      <c r="J108" t="e">
        <f>TRIM(#REF!)</f>
        <v>#REF!</v>
      </c>
      <c r="K108" t="e">
        <f>#REF!&amp;#REF!&amp;#REF!</f>
        <v>#REF!</v>
      </c>
      <c r="L108" t="str">
        <f>IFERROR(VLOOKUP(#REF!,工作表1!E:I,2,FALSE),"")</f>
        <v/>
      </c>
      <c r="M108" t="str">
        <f>IFERROR(VLOOKUP(#REF!,工作表1!E:I,3,FALSE),"")</f>
        <v/>
      </c>
      <c r="N108" t="str">
        <f>IFERROR(VLOOKUP(#REF!,工作表1!E:I,4,FALSE),"")</f>
        <v/>
      </c>
      <c r="O108" t="str">
        <f>IFERROR(VLOOKUP(#REF!,工作表1!E:I,5,FALSE),"")</f>
        <v/>
      </c>
      <c r="P108" t="s">
        <v>1469</v>
      </c>
      <c r="Q108" t="s">
        <v>604</v>
      </c>
      <c r="R108" t="s">
        <v>481</v>
      </c>
      <c r="T108" t="s">
        <v>1470</v>
      </c>
      <c r="U108" t="s">
        <v>604</v>
      </c>
      <c r="V108" t="s">
        <v>502</v>
      </c>
      <c r="X108" t="s">
        <v>1164</v>
      </c>
      <c r="Y108" t="s">
        <v>508</v>
      </c>
      <c r="Z108" t="s">
        <v>505</v>
      </c>
      <c r="AB108" t="s">
        <v>977</v>
      </c>
      <c r="AC108" t="s">
        <v>502</v>
      </c>
      <c r="AD108" t="s">
        <v>473</v>
      </c>
      <c r="AF108" t="s">
        <v>1101</v>
      </c>
      <c r="AG108" t="s">
        <v>505</v>
      </c>
      <c r="AH108" t="s">
        <v>530</v>
      </c>
      <c r="AJ108" t="s">
        <v>529</v>
      </c>
      <c r="AK108" t="s">
        <v>1471</v>
      </c>
      <c r="AL108" t="s">
        <v>903</v>
      </c>
      <c r="AM108" t="s">
        <v>669</v>
      </c>
      <c r="AN108" t="s">
        <v>173</v>
      </c>
      <c r="AO108" t="s">
        <v>672</v>
      </c>
      <c r="AP108" t="s">
        <v>772</v>
      </c>
      <c r="AQ108" t="s">
        <v>301</v>
      </c>
      <c r="AR108" t="s">
        <v>529</v>
      </c>
      <c r="AS108" t="s">
        <v>1049</v>
      </c>
      <c r="AT108" t="s">
        <v>770</v>
      </c>
      <c r="AU108" t="s">
        <v>202</v>
      </c>
      <c r="AV108" t="s">
        <v>474</v>
      </c>
      <c r="AW108" t="s">
        <v>660</v>
      </c>
      <c r="AX108" t="s">
        <v>668</v>
      </c>
      <c r="AY108" t="s">
        <v>629</v>
      </c>
      <c r="AZ108" t="s">
        <v>533</v>
      </c>
      <c r="BA108" t="s">
        <v>982</v>
      </c>
      <c r="BB108" t="s">
        <v>986</v>
      </c>
      <c r="BC108" t="s">
        <v>208</v>
      </c>
      <c r="BD108">
        <v>1587</v>
      </c>
      <c r="BE108">
        <v>1563</v>
      </c>
      <c r="BF108">
        <v>1620</v>
      </c>
      <c r="BG108">
        <v>1593</v>
      </c>
      <c r="BH108">
        <v>1530</v>
      </c>
      <c r="BY108" t="s">
        <v>207</v>
      </c>
      <c r="BZ108" t="s">
        <v>486</v>
      </c>
      <c r="CA108" t="s">
        <v>524</v>
      </c>
      <c r="CD108" t="s">
        <v>556</v>
      </c>
      <c r="CE108" t="s">
        <v>207</v>
      </c>
      <c r="CF108" t="s">
        <v>202</v>
      </c>
      <c r="CG108" t="s">
        <v>209</v>
      </c>
      <c r="CH108" t="s">
        <v>281</v>
      </c>
      <c r="CI108" t="s">
        <v>630</v>
      </c>
      <c r="CJ108" t="s">
        <v>595</v>
      </c>
      <c r="CK108" t="s">
        <v>201</v>
      </c>
      <c r="CL108" t="s">
        <v>486</v>
      </c>
      <c r="CM108" t="s">
        <v>595</v>
      </c>
      <c r="CN108" t="s">
        <v>281</v>
      </c>
      <c r="CO108" t="s">
        <v>211</v>
      </c>
      <c r="CP108" t="s">
        <v>595</v>
      </c>
      <c r="CQ108" t="s">
        <v>281</v>
      </c>
      <c r="CR108" t="s">
        <v>557</v>
      </c>
      <c r="CS108" t="s">
        <v>171</v>
      </c>
      <c r="CT108" t="s">
        <v>207</v>
      </c>
      <c r="CU108" t="s">
        <v>494</v>
      </c>
      <c r="CV108" t="s">
        <v>595</v>
      </c>
      <c r="CW108" t="s">
        <v>174</v>
      </c>
      <c r="CX108" t="s">
        <v>557</v>
      </c>
      <c r="CY108" t="s">
        <v>171</v>
      </c>
      <c r="CZ108" t="s">
        <v>207</v>
      </c>
      <c r="DA108" t="s">
        <v>208</v>
      </c>
      <c r="DB108" t="s">
        <v>593</v>
      </c>
      <c r="DC108" t="s">
        <v>216</v>
      </c>
      <c r="DD108" t="s">
        <v>208</v>
      </c>
      <c r="DE108" t="s">
        <v>593</v>
      </c>
      <c r="DF108" t="s">
        <v>205</v>
      </c>
      <c r="DG108" t="s">
        <v>522</v>
      </c>
      <c r="DH108" t="s">
        <v>187</v>
      </c>
      <c r="FH108" t="s">
        <v>1472</v>
      </c>
    </row>
    <row r="109" spans="1:164" x14ac:dyDescent="0.25">
      <c r="A109">
        <v>4</v>
      </c>
      <c r="B109" t="s">
        <v>164</v>
      </c>
      <c r="C109">
        <v>46</v>
      </c>
      <c r="D109">
        <v>4601</v>
      </c>
      <c r="E109">
        <v>974738511</v>
      </c>
      <c r="F109" t="s">
        <v>165</v>
      </c>
      <c r="G109" t="s">
        <v>166</v>
      </c>
      <c r="H109" t="s">
        <v>167</v>
      </c>
      <c r="I109" t="s">
        <v>1473</v>
      </c>
      <c r="J109" t="e">
        <f>TRIM(#REF!)</f>
        <v>#REF!</v>
      </c>
      <c r="K109" t="e">
        <f>#REF!&amp;#REF!&amp;#REF!</f>
        <v>#REF!</v>
      </c>
      <c r="L109" t="str">
        <f>IFERROR(VLOOKUP(#REF!,工作表1!E:I,2,FALSE),"")</f>
        <v/>
      </c>
      <c r="M109" t="str">
        <f>IFERROR(VLOOKUP(#REF!,工作表1!E:I,3,FALSE),"")</f>
        <v/>
      </c>
      <c r="N109" t="str">
        <f>IFERROR(VLOOKUP(#REF!,工作表1!E:I,4,FALSE),"")</f>
        <v/>
      </c>
      <c r="O109" t="str">
        <f>IFERROR(VLOOKUP(#REF!,工作表1!E:I,5,FALSE),"")</f>
        <v/>
      </c>
      <c r="P109" t="s">
        <v>1474</v>
      </c>
      <c r="Q109" t="s">
        <v>612</v>
      </c>
      <c r="R109" t="s">
        <v>473</v>
      </c>
      <c r="T109" t="s">
        <v>1475</v>
      </c>
      <c r="U109" t="s">
        <v>179</v>
      </c>
      <c r="V109" t="s">
        <v>529</v>
      </c>
      <c r="X109" t="s">
        <v>1474</v>
      </c>
      <c r="Y109" t="s">
        <v>519</v>
      </c>
      <c r="Z109" t="s">
        <v>480</v>
      </c>
      <c r="AB109" t="s">
        <v>1476</v>
      </c>
      <c r="AC109" t="s">
        <v>501</v>
      </c>
      <c r="AD109" t="s">
        <v>529</v>
      </c>
      <c r="AF109" t="s">
        <v>1477</v>
      </c>
      <c r="AG109" t="s">
        <v>504</v>
      </c>
      <c r="AH109" t="s">
        <v>504</v>
      </c>
      <c r="AJ109" t="s">
        <v>215</v>
      </c>
      <c r="AK109" t="s">
        <v>1478</v>
      </c>
      <c r="AL109" t="s">
        <v>823</v>
      </c>
      <c r="AM109" t="s">
        <v>263</v>
      </c>
      <c r="AN109" t="s">
        <v>217</v>
      </c>
      <c r="AO109" t="s">
        <v>1038</v>
      </c>
      <c r="AP109" t="s">
        <v>1479</v>
      </c>
      <c r="AQ109" t="s">
        <v>550</v>
      </c>
      <c r="AR109" t="s">
        <v>217</v>
      </c>
      <c r="AS109" t="s">
        <v>1478</v>
      </c>
      <c r="AT109" t="s">
        <v>1201</v>
      </c>
      <c r="AU109" t="s">
        <v>965</v>
      </c>
      <c r="AV109" t="s">
        <v>217</v>
      </c>
      <c r="AW109" t="s">
        <v>1286</v>
      </c>
      <c r="AX109" t="s">
        <v>949</v>
      </c>
      <c r="AY109" t="s">
        <v>626</v>
      </c>
      <c r="AZ109" t="s">
        <v>209</v>
      </c>
      <c r="BA109" t="s">
        <v>1093</v>
      </c>
      <c r="BB109" t="s">
        <v>831</v>
      </c>
      <c r="BC109" t="s">
        <v>797</v>
      </c>
      <c r="BD109">
        <v>1546</v>
      </c>
      <c r="BE109">
        <v>1623</v>
      </c>
      <c r="BF109">
        <v>1696</v>
      </c>
      <c r="BG109">
        <v>1655</v>
      </c>
      <c r="BH109">
        <v>1698</v>
      </c>
      <c r="BY109" t="s">
        <v>174</v>
      </c>
      <c r="BZ109" t="s">
        <v>644</v>
      </c>
      <c r="CA109" t="s">
        <v>1029</v>
      </c>
      <c r="CB109" t="s">
        <v>174</v>
      </c>
      <c r="CC109" t="s">
        <v>497</v>
      </c>
      <c r="CD109" t="s">
        <v>1029</v>
      </c>
      <c r="CE109" t="s">
        <v>174</v>
      </c>
      <c r="CF109" t="s">
        <v>495</v>
      </c>
      <c r="CG109" t="s">
        <v>1027</v>
      </c>
      <c r="CH109" t="s">
        <v>207</v>
      </c>
      <c r="CI109" t="s">
        <v>213</v>
      </c>
      <c r="CJ109" t="s">
        <v>687</v>
      </c>
      <c r="CK109" t="s">
        <v>281</v>
      </c>
      <c r="CL109" t="s">
        <v>301</v>
      </c>
      <c r="CM109" t="s">
        <v>687</v>
      </c>
      <c r="CN109" t="s">
        <v>216</v>
      </c>
      <c r="CO109" t="s">
        <v>301</v>
      </c>
      <c r="CP109" t="s">
        <v>683</v>
      </c>
      <c r="CQ109" t="s">
        <v>174</v>
      </c>
      <c r="CR109" t="s">
        <v>214</v>
      </c>
      <c r="CS109" t="s">
        <v>727</v>
      </c>
      <c r="CT109" t="s">
        <v>216</v>
      </c>
      <c r="CU109" t="s">
        <v>301</v>
      </c>
      <c r="CV109" t="s">
        <v>728</v>
      </c>
      <c r="CW109" t="s">
        <v>177</v>
      </c>
      <c r="CX109" t="s">
        <v>644</v>
      </c>
      <c r="CY109" t="s">
        <v>727</v>
      </c>
      <c r="CZ109" t="s">
        <v>177</v>
      </c>
      <c r="DA109" t="s">
        <v>644</v>
      </c>
      <c r="DB109" t="s">
        <v>684</v>
      </c>
      <c r="DC109" t="s">
        <v>177</v>
      </c>
      <c r="DD109" t="s">
        <v>558</v>
      </c>
      <c r="DE109" t="s">
        <v>689</v>
      </c>
      <c r="DF109" t="s">
        <v>216</v>
      </c>
      <c r="DG109" t="s">
        <v>644</v>
      </c>
      <c r="DH109" t="s">
        <v>689</v>
      </c>
      <c r="FH109" t="s">
        <v>1480</v>
      </c>
    </row>
    <row r="110" spans="1:164" x14ac:dyDescent="0.25">
      <c r="A110">
        <v>4</v>
      </c>
      <c r="B110" t="s">
        <v>164</v>
      </c>
      <c r="C110">
        <v>46</v>
      </c>
      <c r="D110">
        <v>4601</v>
      </c>
      <c r="E110">
        <v>974738422</v>
      </c>
      <c r="F110" t="s">
        <v>165</v>
      </c>
      <c r="G110" t="s">
        <v>166</v>
      </c>
      <c r="H110" t="s">
        <v>167</v>
      </c>
      <c r="I110" t="s">
        <v>1481</v>
      </c>
      <c r="J110" t="e">
        <f>TRIM(#REF!)</f>
        <v>#REF!</v>
      </c>
      <c r="K110" t="e">
        <f>#REF!&amp;#REF!&amp;#REF!</f>
        <v>#REF!</v>
      </c>
      <c r="L110" t="str">
        <f>IFERROR(VLOOKUP(#REF!,工作表1!E:I,2,FALSE),"")</f>
        <v/>
      </c>
      <c r="M110" t="str">
        <f>IFERROR(VLOOKUP(#REF!,工作表1!E:I,3,FALSE),"")</f>
        <v/>
      </c>
      <c r="N110" t="str">
        <f>IFERROR(VLOOKUP(#REF!,工作表1!E:I,4,FALSE),"")</f>
        <v/>
      </c>
      <c r="O110" t="str">
        <f>IFERROR(VLOOKUP(#REF!,工作表1!E:I,5,FALSE),"")</f>
        <v/>
      </c>
      <c r="P110" t="s">
        <v>1165</v>
      </c>
      <c r="Q110" t="s">
        <v>170</v>
      </c>
      <c r="R110" t="s">
        <v>187</v>
      </c>
      <c r="T110" t="s">
        <v>1482</v>
      </c>
      <c r="U110" t="s">
        <v>476</v>
      </c>
      <c r="V110" t="s">
        <v>588</v>
      </c>
      <c r="X110" t="s">
        <v>1483</v>
      </c>
      <c r="Y110" t="s">
        <v>170</v>
      </c>
      <c r="Z110" t="s">
        <v>593</v>
      </c>
      <c r="AB110" t="s">
        <v>614</v>
      </c>
      <c r="AC110" t="s">
        <v>501</v>
      </c>
      <c r="AD110" t="s">
        <v>182</v>
      </c>
      <c r="AF110" t="s">
        <v>933</v>
      </c>
      <c r="AG110" t="s">
        <v>580</v>
      </c>
      <c r="AH110" t="s">
        <v>519</v>
      </c>
      <c r="AJ110" t="s">
        <v>512</v>
      </c>
      <c r="AK110" t="s">
        <v>518</v>
      </c>
      <c r="AL110" t="s">
        <v>984</v>
      </c>
      <c r="AM110" t="s">
        <v>598</v>
      </c>
      <c r="AN110" t="s">
        <v>519</v>
      </c>
      <c r="AO110" t="s">
        <v>1150</v>
      </c>
      <c r="AP110" t="s">
        <v>714</v>
      </c>
      <c r="AQ110" t="s">
        <v>598</v>
      </c>
      <c r="AR110" t="s">
        <v>533</v>
      </c>
      <c r="AS110" t="s">
        <v>657</v>
      </c>
      <c r="AT110" t="s">
        <v>805</v>
      </c>
      <c r="AU110" t="s">
        <v>389</v>
      </c>
      <c r="AV110" t="s">
        <v>173</v>
      </c>
      <c r="AW110" t="s">
        <v>986</v>
      </c>
      <c r="AX110" t="s">
        <v>1012</v>
      </c>
      <c r="AY110" t="s">
        <v>800</v>
      </c>
      <c r="AZ110" t="s">
        <v>473</v>
      </c>
      <c r="BA110" t="s">
        <v>621</v>
      </c>
      <c r="BB110" t="s">
        <v>903</v>
      </c>
      <c r="BC110" t="s">
        <v>263</v>
      </c>
      <c r="BD110">
        <v>1454</v>
      </c>
      <c r="BE110">
        <v>1490</v>
      </c>
      <c r="BF110">
        <v>1650</v>
      </c>
      <c r="BG110">
        <v>1483</v>
      </c>
      <c r="BH110">
        <v>1521</v>
      </c>
      <c r="BY110" t="s">
        <v>281</v>
      </c>
      <c r="BZ110" t="s">
        <v>486</v>
      </c>
      <c r="CA110" t="s">
        <v>612</v>
      </c>
      <c r="CB110" t="s">
        <v>207</v>
      </c>
      <c r="CC110" t="s">
        <v>213</v>
      </c>
      <c r="CD110" t="s">
        <v>612</v>
      </c>
      <c r="CE110" t="s">
        <v>210</v>
      </c>
      <c r="CF110" t="s">
        <v>206</v>
      </c>
      <c r="CG110" t="s">
        <v>612</v>
      </c>
      <c r="CH110" t="s">
        <v>281</v>
      </c>
      <c r="CI110" t="s">
        <v>186</v>
      </c>
      <c r="CJ110" t="s">
        <v>512</v>
      </c>
      <c r="CK110" t="s">
        <v>216</v>
      </c>
      <c r="CL110" t="s">
        <v>202</v>
      </c>
      <c r="CM110" t="s">
        <v>533</v>
      </c>
      <c r="CN110" t="s">
        <v>281</v>
      </c>
      <c r="CO110" t="s">
        <v>494</v>
      </c>
      <c r="CP110" t="s">
        <v>512</v>
      </c>
      <c r="CQ110" t="s">
        <v>281</v>
      </c>
      <c r="CR110" t="s">
        <v>202</v>
      </c>
      <c r="CS110" t="s">
        <v>187</v>
      </c>
      <c r="CT110" t="s">
        <v>216</v>
      </c>
      <c r="CU110" t="s">
        <v>486</v>
      </c>
      <c r="CV110" t="s">
        <v>187</v>
      </c>
      <c r="CW110" t="s">
        <v>281</v>
      </c>
      <c r="CX110" t="s">
        <v>211</v>
      </c>
      <c r="CY110" t="s">
        <v>187</v>
      </c>
      <c r="CZ110" t="s">
        <v>205</v>
      </c>
      <c r="DA110" t="s">
        <v>494</v>
      </c>
      <c r="DB110" t="s">
        <v>593</v>
      </c>
      <c r="DC110" t="s">
        <v>216</v>
      </c>
      <c r="DD110" t="s">
        <v>213</v>
      </c>
      <c r="DE110" t="s">
        <v>593</v>
      </c>
      <c r="DF110" t="s">
        <v>496</v>
      </c>
      <c r="DG110" t="s">
        <v>557</v>
      </c>
      <c r="DH110" t="s">
        <v>195</v>
      </c>
      <c r="FH110" t="s">
        <v>1484</v>
      </c>
    </row>
    <row r="111" spans="1:164" x14ac:dyDescent="0.25">
      <c r="A111">
        <v>4</v>
      </c>
      <c r="B111" t="s">
        <v>164</v>
      </c>
      <c r="C111">
        <v>46</v>
      </c>
      <c r="D111">
        <v>4601</v>
      </c>
      <c r="E111">
        <v>974737973</v>
      </c>
      <c r="F111" t="s">
        <v>165</v>
      </c>
      <c r="G111" t="s">
        <v>166</v>
      </c>
      <c r="H111" t="s">
        <v>167</v>
      </c>
      <c r="I111" t="s">
        <v>1485</v>
      </c>
      <c r="J111" t="e">
        <f>TRIM(#REF!)</f>
        <v>#REF!</v>
      </c>
      <c r="K111" t="e">
        <f>#REF!&amp;#REF!&amp;#REF!</f>
        <v>#REF!</v>
      </c>
      <c r="L111" t="str">
        <f>IFERROR(VLOOKUP(#REF!,工作表1!E:I,2,FALSE),"")</f>
        <v/>
      </c>
      <c r="M111" t="str">
        <f>IFERROR(VLOOKUP(#REF!,工作表1!E:I,3,FALSE),"")</f>
        <v/>
      </c>
      <c r="N111" t="str">
        <f>IFERROR(VLOOKUP(#REF!,工作表1!E:I,4,FALSE),"")</f>
        <v/>
      </c>
      <c r="O111" t="str">
        <f>IFERROR(VLOOKUP(#REF!,工作表1!E:I,5,FALSE),"")</f>
        <v/>
      </c>
      <c r="P111" t="s">
        <v>925</v>
      </c>
      <c r="Q111" t="s">
        <v>505</v>
      </c>
      <c r="R111" t="s">
        <v>519</v>
      </c>
      <c r="T111" t="s">
        <v>697</v>
      </c>
      <c r="U111" t="s">
        <v>608</v>
      </c>
      <c r="V111" t="s">
        <v>612</v>
      </c>
      <c r="X111" t="s">
        <v>1486</v>
      </c>
      <c r="Y111" t="s">
        <v>505</v>
      </c>
      <c r="Z111" t="s">
        <v>182</v>
      </c>
      <c r="AB111" t="s">
        <v>1486</v>
      </c>
      <c r="AC111" t="s">
        <v>501</v>
      </c>
      <c r="AD111" t="s">
        <v>512</v>
      </c>
      <c r="AF111" t="s">
        <v>320</v>
      </c>
      <c r="AG111" t="s">
        <v>580</v>
      </c>
      <c r="AH111" t="s">
        <v>505</v>
      </c>
      <c r="AJ111" t="s">
        <v>593</v>
      </c>
      <c r="AK111" t="s">
        <v>1487</v>
      </c>
      <c r="AL111" t="s">
        <v>490</v>
      </c>
      <c r="AM111" t="s">
        <v>495</v>
      </c>
      <c r="AN111" t="s">
        <v>489</v>
      </c>
      <c r="AO111" t="s">
        <v>492</v>
      </c>
      <c r="AP111" t="s">
        <v>801</v>
      </c>
      <c r="AQ111" t="s">
        <v>214</v>
      </c>
      <c r="AR111" t="s">
        <v>176</v>
      </c>
      <c r="AS111" t="s">
        <v>783</v>
      </c>
      <c r="AT111" t="s">
        <v>1112</v>
      </c>
      <c r="AU111" t="s">
        <v>301</v>
      </c>
      <c r="AV111" t="s">
        <v>187</v>
      </c>
      <c r="AW111" t="s">
        <v>487</v>
      </c>
      <c r="AX111" t="s">
        <v>1488</v>
      </c>
      <c r="AY111" t="s">
        <v>495</v>
      </c>
      <c r="AZ111" t="s">
        <v>179</v>
      </c>
      <c r="BA111" t="s">
        <v>927</v>
      </c>
      <c r="BB111" t="s">
        <v>184</v>
      </c>
      <c r="BC111" t="s">
        <v>495</v>
      </c>
      <c r="BD111">
        <v>1548</v>
      </c>
      <c r="BE111">
        <v>1626</v>
      </c>
      <c r="BF111">
        <v>1636</v>
      </c>
      <c r="BG111">
        <v>1613</v>
      </c>
      <c r="BH111">
        <v>1599</v>
      </c>
      <c r="BY111" t="s">
        <v>207</v>
      </c>
      <c r="BZ111" t="s">
        <v>202</v>
      </c>
      <c r="CA111" t="s">
        <v>201</v>
      </c>
      <c r="CB111" t="s">
        <v>215</v>
      </c>
      <c r="CC111" t="s">
        <v>494</v>
      </c>
      <c r="CD111" t="s">
        <v>496</v>
      </c>
      <c r="CE111" t="s">
        <v>215</v>
      </c>
      <c r="CF111" t="s">
        <v>204</v>
      </c>
      <c r="CG111" t="s">
        <v>496</v>
      </c>
      <c r="CH111" t="s">
        <v>207</v>
      </c>
      <c r="CI111" t="s">
        <v>494</v>
      </c>
      <c r="CJ111" t="s">
        <v>201</v>
      </c>
      <c r="CK111" t="s">
        <v>183</v>
      </c>
      <c r="CL111" t="s">
        <v>494</v>
      </c>
      <c r="CM111" t="s">
        <v>281</v>
      </c>
      <c r="CN111" t="s">
        <v>205</v>
      </c>
      <c r="CO111" t="s">
        <v>204</v>
      </c>
      <c r="CP111" t="s">
        <v>201</v>
      </c>
      <c r="CQ111" t="s">
        <v>281</v>
      </c>
      <c r="CR111" t="s">
        <v>494</v>
      </c>
      <c r="CS111" t="s">
        <v>210</v>
      </c>
      <c r="CT111" t="s">
        <v>281</v>
      </c>
      <c r="CU111" t="s">
        <v>214</v>
      </c>
      <c r="CV111" t="s">
        <v>210</v>
      </c>
      <c r="CW111" t="s">
        <v>177</v>
      </c>
      <c r="CX111" t="s">
        <v>495</v>
      </c>
      <c r="CY111" t="s">
        <v>210</v>
      </c>
      <c r="CZ111" t="s">
        <v>281</v>
      </c>
      <c r="DA111" t="s">
        <v>213</v>
      </c>
      <c r="DB111" t="s">
        <v>1027</v>
      </c>
      <c r="DC111" t="s">
        <v>177</v>
      </c>
      <c r="DD111" t="s">
        <v>495</v>
      </c>
      <c r="DE111" t="s">
        <v>1027</v>
      </c>
      <c r="DF111" t="s">
        <v>207</v>
      </c>
      <c r="DG111" t="s">
        <v>644</v>
      </c>
      <c r="DH111" t="s">
        <v>1027</v>
      </c>
      <c r="FH111" t="s">
        <v>1489</v>
      </c>
    </row>
    <row r="112" spans="1:164" x14ac:dyDescent="0.25">
      <c r="A112">
        <v>4</v>
      </c>
      <c r="B112" t="s">
        <v>164</v>
      </c>
      <c r="C112">
        <v>46</v>
      </c>
      <c r="D112">
        <v>4601</v>
      </c>
      <c r="E112">
        <v>974738139</v>
      </c>
      <c r="F112" t="s">
        <v>165</v>
      </c>
      <c r="G112" t="s">
        <v>166</v>
      </c>
      <c r="H112" t="s">
        <v>167</v>
      </c>
      <c r="I112" t="s">
        <v>1490</v>
      </c>
      <c r="J112" t="e">
        <f>TRIM(#REF!)</f>
        <v>#REF!</v>
      </c>
      <c r="K112" t="e">
        <f>#REF!&amp;#REF!&amp;#REF!</f>
        <v>#REF!</v>
      </c>
      <c r="L112" t="str">
        <f>IFERROR(VLOOKUP(#REF!,工作表1!E:I,2,FALSE),"")</f>
        <v/>
      </c>
      <c r="M112" t="str">
        <f>IFERROR(VLOOKUP(#REF!,工作表1!E:I,3,FALSE),"")</f>
        <v/>
      </c>
      <c r="N112" t="str">
        <f>IFERROR(VLOOKUP(#REF!,工作表1!E:I,4,FALSE),"")</f>
        <v/>
      </c>
      <c r="O112" t="str">
        <f>IFERROR(VLOOKUP(#REF!,工作表1!E:I,5,FALSE),"")</f>
        <v/>
      </c>
      <c r="P112" t="s">
        <v>1143</v>
      </c>
      <c r="Q112" t="s">
        <v>580</v>
      </c>
      <c r="R112" t="s">
        <v>588</v>
      </c>
      <c r="T112" t="s">
        <v>1127</v>
      </c>
      <c r="U112" t="s">
        <v>505</v>
      </c>
      <c r="V112" t="s">
        <v>600</v>
      </c>
      <c r="X112" t="s">
        <v>933</v>
      </c>
      <c r="Y112" t="s">
        <v>504</v>
      </c>
      <c r="Z112" t="s">
        <v>586</v>
      </c>
      <c r="AB112" t="s">
        <v>1491</v>
      </c>
      <c r="AC112" t="s">
        <v>501</v>
      </c>
      <c r="AD112" t="s">
        <v>678</v>
      </c>
      <c r="AF112" t="s">
        <v>1069</v>
      </c>
      <c r="AG112" t="s">
        <v>480</v>
      </c>
      <c r="AH112" t="s">
        <v>732</v>
      </c>
      <c r="AJ112" t="s">
        <v>474</v>
      </c>
      <c r="AK112" t="s">
        <v>1073</v>
      </c>
      <c r="AL112" t="s">
        <v>715</v>
      </c>
      <c r="AM112" t="s">
        <v>206</v>
      </c>
      <c r="AN112" t="s">
        <v>173</v>
      </c>
      <c r="AO112" t="s">
        <v>657</v>
      </c>
      <c r="AP112" t="s">
        <v>1072</v>
      </c>
      <c r="AQ112" t="s">
        <v>213</v>
      </c>
      <c r="AR112" t="s">
        <v>173</v>
      </c>
      <c r="AS112" t="s">
        <v>984</v>
      </c>
      <c r="AT112" t="s">
        <v>1471</v>
      </c>
      <c r="AU112" t="s">
        <v>598</v>
      </c>
      <c r="AV112" t="s">
        <v>533</v>
      </c>
      <c r="AW112" t="s">
        <v>511</v>
      </c>
      <c r="AX112" t="s">
        <v>1167</v>
      </c>
      <c r="AY112" t="s">
        <v>631</v>
      </c>
      <c r="AZ112" t="s">
        <v>512</v>
      </c>
      <c r="BA112" t="s">
        <v>1166</v>
      </c>
      <c r="BB112" t="s">
        <v>1104</v>
      </c>
      <c r="BC112" t="s">
        <v>522</v>
      </c>
      <c r="BD112">
        <v>1620</v>
      </c>
      <c r="BE112">
        <v>1572</v>
      </c>
      <c r="BF112">
        <v>1485</v>
      </c>
      <c r="BG112">
        <v>1531</v>
      </c>
      <c r="BH112">
        <v>1374</v>
      </c>
      <c r="BY112" t="s">
        <v>496</v>
      </c>
      <c r="BZ112" t="s">
        <v>494</v>
      </c>
      <c r="CA112" t="s">
        <v>593</v>
      </c>
      <c r="CB112" t="s">
        <v>183</v>
      </c>
      <c r="CC112" t="s">
        <v>497</v>
      </c>
      <c r="CD112" t="s">
        <v>595</v>
      </c>
      <c r="CE112" t="s">
        <v>496</v>
      </c>
      <c r="CF112" t="s">
        <v>211</v>
      </c>
      <c r="CG112" t="s">
        <v>595</v>
      </c>
      <c r="CH112" t="s">
        <v>496</v>
      </c>
      <c r="CI112" t="s">
        <v>198</v>
      </c>
      <c r="CJ112" t="s">
        <v>182</v>
      </c>
      <c r="CK112" t="s">
        <v>496</v>
      </c>
      <c r="CL112" t="s">
        <v>522</v>
      </c>
      <c r="CM112" t="s">
        <v>519</v>
      </c>
      <c r="CN112" t="s">
        <v>201</v>
      </c>
      <c r="CO112" t="s">
        <v>486</v>
      </c>
      <c r="CP112" t="s">
        <v>612</v>
      </c>
      <c r="CQ112" t="s">
        <v>201</v>
      </c>
      <c r="CR112" t="s">
        <v>522</v>
      </c>
      <c r="CS112" t="s">
        <v>512</v>
      </c>
      <c r="CT112" t="s">
        <v>177</v>
      </c>
      <c r="CU112" t="s">
        <v>630</v>
      </c>
      <c r="CV112" t="s">
        <v>512</v>
      </c>
      <c r="CW112" t="s">
        <v>281</v>
      </c>
      <c r="CX112" t="s">
        <v>630</v>
      </c>
      <c r="CY112" t="s">
        <v>512</v>
      </c>
      <c r="CZ112" t="s">
        <v>496</v>
      </c>
      <c r="DA112" t="s">
        <v>637</v>
      </c>
      <c r="DB112" t="s">
        <v>474</v>
      </c>
      <c r="DC112" t="s">
        <v>205</v>
      </c>
      <c r="DD112" t="s">
        <v>208</v>
      </c>
      <c r="DE112" t="s">
        <v>474</v>
      </c>
      <c r="DF112" t="s">
        <v>600</v>
      </c>
      <c r="DG112" t="s">
        <v>213</v>
      </c>
      <c r="DH112" t="s">
        <v>512</v>
      </c>
      <c r="FH112" t="s">
        <v>1492</v>
      </c>
    </row>
    <row r="113" spans="1:164" x14ac:dyDescent="0.25">
      <c r="A113">
        <v>4</v>
      </c>
      <c r="B113" t="s">
        <v>164</v>
      </c>
      <c r="C113">
        <v>46</v>
      </c>
      <c r="D113">
        <v>4601</v>
      </c>
      <c r="E113">
        <v>974738597</v>
      </c>
      <c r="F113" t="s">
        <v>165</v>
      </c>
      <c r="G113" t="s">
        <v>166</v>
      </c>
      <c r="H113" t="s">
        <v>167</v>
      </c>
      <c r="I113" t="s">
        <v>1493</v>
      </c>
      <c r="J113" t="e">
        <f>TRIM(#REF!)</f>
        <v>#REF!</v>
      </c>
      <c r="K113" t="e">
        <f>#REF!&amp;#REF!&amp;#REF!</f>
        <v>#REF!</v>
      </c>
      <c r="L113" t="str">
        <f>IFERROR(VLOOKUP(#REF!,工作表1!E:I,2,FALSE),"")</f>
        <v/>
      </c>
      <c r="M113" t="str">
        <f>IFERROR(VLOOKUP(#REF!,工作表1!E:I,3,FALSE),"")</f>
        <v/>
      </c>
      <c r="N113" t="str">
        <f>IFERROR(VLOOKUP(#REF!,工作表1!E:I,4,FALSE),"")</f>
        <v/>
      </c>
      <c r="O113" t="str">
        <f>IFERROR(VLOOKUP(#REF!,工作表1!E:I,5,FALSE),"")</f>
        <v/>
      </c>
      <c r="P113" t="s">
        <v>1367</v>
      </c>
      <c r="Q113" t="s">
        <v>195</v>
      </c>
      <c r="R113" t="s">
        <v>604</v>
      </c>
      <c r="T113" t="s">
        <v>316</v>
      </c>
      <c r="U113" t="s">
        <v>593</v>
      </c>
      <c r="V113" t="s">
        <v>655</v>
      </c>
      <c r="X113" t="s">
        <v>1494</v>
      </c>
      <c r="Y113" t="s">
        <v>217</v>
      </c>
      <c r="Z113" t="s">
        <v>604</v>
      </c>
      <c r="AB113" t="s">
        <v>1495</v>
      </c>
      <c r="AC113" t="s">
        <v>207</v>
      </c>
      <c r="AD113" t="s">
        <v>508</v>
      </c>
      <c r="AF113" t="s">
        <v>507</v>
      </c>
      <c r="AG113" t="s">
        <v>281</v>
      </c>
      <c r="AH113" t="s">
        <v>481</v>
      </c>
      <c r="AJ113" t="s">
        <v>191</v>
      </c>
      <c r="AK113" t="s">
        <v>1040</v>
      </c>
      <c r="AL113" t="s">
        <v>1393</v>
      </c>
      <c r="AM113" t="s">
        <v>965</v>
      </c>
      <c r="AN113" t="s">
        <v>523</v>
      </c>
      <c r="AO113" t="s">
        <v>1094</v>
      </c>
      <c r="AP113" t="s">
        <v>1455</v>
      </c>
      <c r="AQ113" t="s">
        <v>633</v>
      </c>
      <c r="AR113" t="s">
        <v>212</v>
      </c>
      <c r="AS113" t="s">
        <v>762</v>
      </c>
      <c r="AT113" t="s">
        <v>1487</v>
      </c>
      <c r="AU113" t="s">
        <v>351</v>
      </c>
      <c r="AV113" t="s">
        <v>523</v>
      </c>
      <c r="AW113" t="s">
        <v>1392</v>
      </c>
      <c r="AX113" t="s">
        <v>946</v>
      </c>
      <c r="AY113" t="s">
        <v>1000</v>
      </c>
      <c r="AZ113" t="s">
        <v>525</v>
      </c>
      <c r="BA113" t="s">
        <v>824</v>
      </c>
      <c r="BB113" t="s">
        <v>1082</v>
      </c>
      <c r="BC113" t="s">
        <v>536</v>
      </c>
      <c r="BD113">
        <v>1750</v>
      </c>
      <c r="BE113">
        <v>1869</v>
      </c>
      <c r="BF113">
        <v>2028</v>
      </c>
      <c r="BG113">
        <v>1781</v>
      </c>
      <c r="BH113">
        <v>1941</v>
      </c>
      <c r="BI113" t="s">
        <v>261</v>
      </c>
      <c r="BJ113" t="s">
        <v>262</v>
      </c>
      <c r="BK113" t="s">
        <v>637</v>
      </c>
      <c r="BL113" t="s">
        <v>639</v>
      </c>
      <c r="BM113" t="s">
        <v>637</v>
      </c>
      <c r="BN113" t="s">
        <v>971</v>
      </c>
      <c r="BO113" t="s">
        <v>190</v>
      </c>
      <c r="BP113" t="s">
        <v>951</v>
      </c>
      <c r="BQ113" t="s">
        <v>631</v>
      </c>
      <c r="BR113" t="s">
        <v>567</v>
      </c>
      <c r="BS113" t="s">
        <v>1386</v>
      </c>
      <c r="BT113" t="s">
        <v>971</v>
      </c>
      <c r="BU113" t="s">
        <v>1286</v>
      </c>
      <c r="BV113" t="s">
        <v>951</v>
      </c>
      <c r="BW113" t="s">
        <v>535</v>
      </c>
      <c r="BX113" t="s">
        <v>1138</v>
      </c>
      <c r="DI113" t="s">
        <v>281</v>
      </c>
      <c r="DJ113" t="s">
        <v>301</v>
      </c>
      <c r="DK113" t="s">
        <v>676</v>
      </c>
      <c r="DL113" t="s">
        <v>281</v>
      </c>
      <c r="DM113" t="s">
        <v>301</v>
      </c>
      <c r="DN113" t="s">
        <v>751</v>
      </c>
      <c r="DO113" t="s">
        <v>281</v>
      </c>
      <c r="DP113" t="s">
        <v>566</v>
      </c>
      <c r="DQ113" t="s">
        <v>688</v>
      </c>
      <c r="DR113" t="s">
        <v>281</v>
      </c>
      <c r="DS113" t="s">
        <v>669</v>
      </c>
      <c r="DT113" t="s">
        <v>395</v>
      </c>
      <c r="DU113" t="s">
        <v>177</v>
      </c>
      <c r="DV113" t="s">
        <v>566</v>
      </c>
      <c r="DW113" t="s">
        <v>1141</v>
      </c>
      <c r="DX113" t="s">
        <v>207</v>
      </c>
      <c r="DY113" t="s">
        <v>301</v>
      </c>
      <c r="DZ113" t="s">
        <v>395</v>
      </c>
      <c r="EA113" t="s">
        <v>177</v>
      </c>
      <c r="EB113" t="s">
        <v>558</v>
      </c>
      <c r="EC113" t="s">
        <v>1220</v>
      </c>
      <c r="ED113" t="s">
        <v>215</v>
      </c>
      <c r="EE113" t="s">
        <v>558</v>
      </c>
      <c r="EF113" t="s">
        <v>674</v>
      </c>
      <c r="EG113" t="s">
        <v>217</v>
      </c>
      <c r="EH113" t="s">
        <v>669</v>
      </c>
      <c r="EI113" t="s">
        <v>751</v>
      </c>
      <c r="EJ113" t="s">
        <v>201</v>
      </c>
      <c r="EK113" t="s">
        <v>566</v>
      </c>
      <c r="EL113" t="s">
        <v>676</v>
      </c>
      <c r="EM113" t="s">
        <v>177</v>
      </c>
      <c r="EN113" t="s">
        <v>301</v>
      </c>
      <c r="EO113" t="s">
        <v>818</v>
      </c>
      <c r="EP113" t="s">
        <v>281</v>
      </c>
      <c r="EQ113" t="s">
        <v>669</v>
      </c>
      <c r="ER113" t="s">
        <v>676</v>
      </c>
      <c r="ES113" t="s">
        <v>211</v>
      </c>
      <c r="ET113" t="s">
        <v>301</v>
      </c>
      <c r="EU113" t="s">
        <v>860</v>
      </c>
      <c r="EV113" t="s">
        <v>623</v>
      </c>
      <c r="EW113" t="s">
        <v>623</v>
      </c>
      <c r="EX113" t="s">
        <v>568</v>
      </c>
      <c r="EY113">
        <v>90</v>
      </c>
      <c r="EZ113">
        <v>70</v>
      </c>
      <c r="FA113" t="s">
        <v>1296</v>
      </c>
      <c r="FB113" t="s">
        <v>468</v>
      </c>
      <c r="FC113" t="s">
        <v>186</v>
      </c>
      <c r="FD113" t="s">
        <v>970</v>
      </c>
      <c r="FE113">
        <v>50</v>
      </c>
      <c r="FF113">
        <v>45</v>
      </c>
      <c r="FG113" t="s">
        <v>861</v>
      </c>
      <c r="FH113" t="s">
        <v>1496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05033-5B44-48EC-9960-6B1F070D6128}">
  <dimension ref="A1:FH89"/>
  <sheetViews>
    <sheetView tabSelected="1" workbookViewId="0">
      <selection activeCell="K1" sqref="K1:K1048576"/>
    </sheetView>
  </sheetViews>
  <sheetFormatPr defaultRowHeight="16.5" x14ac:dyDescent="0.25"/>
  <sheetData>
    <row r="1" spans="1:16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1597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</row>
    <row r="2" spans="1:164" x14ac:dyDescent="0.25">
      <c r="A2">
        <v>4</v>
      </c>
      <c r="B2" t="s">
        <v>164</v>
      </c>
      <c r="C2">
        <v>46</v>
      </c>
      <c r="D2">
        <v>4601</v>
      </c>
      <c r="E2">
        <v>974738570</v>
      </c>
      <c r="F2" t="s">
        <v>165</v>
      </c>
      <c r="G2" t="s">
        <v>166</v>
      </c>
      <c r="H2" t="s">
        <v>167</v>
      </c>
      <c r="I2" t="s">
        <v>168</v>
      </c>
      <c r="J2" t="s">
        <v>168</v>
      </c>
      <c r="K2" t="s">
        <v>218</v>
      </c>
      <c r="L2" t="s">
        <v>965</v>
      </c>
      <c r="M2" t="s">
        <v>965</v>
      </c>
      <c r="N2" t="s">
        <v>731</v>
      </c>
      <c r="O2" t="s">
        <v>604</v>
      </c>
      <c r="P2" t="s">
        <v>169</v>
      </c>
      <c r="Q2" t="s">
        <v>170</v>
      </c>
      <c r="R2" t="s">
        <v>171</v>
      </c>
      <c r="T2" t="s">
        <v>172</v>
      </c>
      <c r="U2" t="s">
        <v>173</v>
      </c>
      <c r="V2" t="s">
        <v>174</v>
      </c>
      <c r="X2" t="s">
        <v>175</v>
      </c>
      <c r="Y2" t="s">
        <v>176</v>
      </c>
      <c r="Z2" t="s">
        <v>177</v>
      </c>
      <c r="AB2" t="s">
        <v>178</v>
      </c>
      <c r="AC2" t="s">
        <v>179</v>
      </c>
      <c r="AD2" t="s">
        <v>180</v>
      </c>
      <c r="AF2" t="s">
        <v>181</v>
      </c>
      <c r="AG2" t="s">
        <v>182</v>
      </c>
      <c r="AH2" t="s">
        <v>183</v>
      </c>
      <c r="AJ2" t="s">
        <v>179</v>
      </c>
      <c r="AK2" t="s">
        <v>184</v>
      </c>
      <c r="AL2" t="s">
        <v>185</v>
      </c>
      <c r="AM2" t="s">
        <v>186</v>
      </c>
      <c r="AN2" t="s">
        <v>187</v>
      </c>
      <c r="AO2" t="s">
        <v>188</v>
      </c>
      <c r="AP2" t="s">
        <v>189</v>
      </c>
      <c r="AQ2" t="s">
        <v>190</v>
      </c>
      <c r="AR2" t="s">
        <v>191</v>
      </c>
      <c r="AS2" t="s">
        <v>192</v>
      </c>
      <c r="AT2" t="s">
        <v>193</v>
      </c>
      <c r="AU2" t="s">
        <v>194</v>
      </c>
      <c r="AV2" t="s">
        <v>195</v>
      </c>
      <c r="AW2" t="s">
        <v>196</v>
      </c>
      <c r="AX2" t="s">
        <v>197</v>
      </c>
      <c r="AY2" t="s">
        <v>198</v>
      </c>
      <c r="AZ2" t="s">
        <v>187</v>
      </c>
      <c r="BA2" t="s">
        <v>199</v>
      </c>
      <c r="BB2" t="s">
        <v>200</v>
      </c>
      <c r="BC2" t="s">
        <v>190</v>
      </c>
      <c r="BD2">
        <v>1369</v>
      </c>
      <c r="BE2">
        <v>1576</v>
      </c>
      <c r="BF2">
        <v>1484</v>
      </c>
      <c r="BG2">
        <v>1441</v>
      </c>
      <c r="BH2">
        <v>1389</v>
      </c>
      <c r="BY2" t="s">
        <v>201</v>
      </c>
      <c r="BZ2" t="s">
        <v>202</v>
      </c>
      <c r="CA2" t="s">
        <v>203</v>
      </c>
      <c r="CB2" t="s">
        <v>174</v>
      </c>
      <c r="CC2" t="s">
        <v>204</v>
      </c>
      <c r="CD2" t="s">
        <v>203</v>
      </c>
      <c r="CE2" t="s">
        <v>205</v>
      </c>
      <c r="CF2" t="s">
        <v>206</v>
      </c>
      <c r="CG2" t="s">
        <v>203</v>
      </c>
      <c r="CH2" t="s">
        <v>207</v>
      </c>
      <c r="CI2" t="s">
        <v>208</v>
      </c>
      <c r="CJ2" t="s">
        <v>209</v>
      </c>
      <c r="CK2" t="s">
        <v>210</v>
      </c>
      <c r="CL2" t="s">
        <v>211</v>
      </c>
      <c r="CM2" t="s">
        <v>212</v>
      </c>
      <c r="CN2" t="s">
        <v>210</v>
      </c>
      <c r="CO2" t="s">
        <v>211</v>
      </c>
      <c r="CP2" t="s">
        <v>212</v>
      </c>
      <c r="CQ2" t="s">
        <v>210</v>
      </c>
      <c r="CR2" t="s">
        <v>213</v>
      </c>
      <c r="CS2" t="s">
        <v>177</v>
      </c>
      <c r="CT2" t="s">
        <v>209</v>
      </c>
      <c r="CU2" t="s">
        <v>213</v>
      </c>
      <c r="CV2" t="s">
        <v>177</v>
      </c>
      <c r="CW2" t="s">
        <v>177</v>
      </c>
      <c r="CX2" t="s">
        <v>214</v>
      </c>
      <c r="CY2" t="s">
        <v>177</v>
      </c>
      <c r="CZ2" t="s">
        <v>210</v>
      </c>
      <c r="DA2" t="s">
        <v>204</v>
      </c>
      <c r="DB2" t="s">
        <v>210</v>
      </c>
      <c r="DC2" t="s">
        <v>215</v>
      </c>
      <c r="DD2" t="s">
        <v>214</v>
      </c>
      <c r="DE2" t="s">
        <v>216</v>
      </c>
      <c r="DF2" t="s">
        <v>217</v>
      </c>
      <c r="DG2" t="s">
        <v>211</v>
      </c>
      <c r="DH2" t="s">
        <v>216</v>
      </c>
      <c r="FH2" t="s">
        <v>218</v>
      </c>
    </row>
    <row r="3" spans="1:164" x14ac:dyDescent="0.25">
      <c r="A3">
        <v>2</v>
      </c>
      <c r="B3" t="s">
        <v>164</v>
      </c>
      <c r="C3">
        <v>46</v>
      </c>
      <c r="D3">
        <v>0</v>
      </c>
      <c r="E3">
        <v>46</v>
      </c>
      <c r="F3" t="s">
        <v>165</v>
      </c>
      <c r="G3" t="s">
        <v>166</v>
      </c>
      <c r="H3" t="s">
        <v>220</v>
      </c>
      <c r="I3" t="s">
        <v>221</v>
      </c>
      <c r="J3" t="s">
        <v>221</v>
      </c>
      <c r="K3" t="s">
        <v>1598</v>
      </c>
      <c r="L3" t="s">
        <v>1200</v>
      </c>
      <c r="M3" t="s">
        <v>1344</v>
      </c>
      <c r="N3" t="s">
        <v>301</v>
      </c>
      <c r="O3" t="s">
        <v>630</v>
      </c>
      <c r="P3">
        <v>76772</v>
      </c>
      <c r="Q3" t="s">
        <v>310</v>
      </c>
      <c r="R3" t="s">
        <v>311</v>
      </c>
      <c r="S3" t="s">
        <v>312</v>
      </c>
      <c r="T3" t="s">
        <v>313</v>
      </c>
      <c r="U3" t="s">
        <v>314</v>
      </c>
      <c r="V3" t="s">
        <v>315</v>
      </c>
      <c r="W3" t="s">
        <v>316</v>
      </c>
      <c r="X3" t="s">
        <v>317</v>
      </c>
      <c r="Y3" t="s">
        <v>318</v>
      </c>
      <c r="Z3" t="s">
        <v>319</v>
      </c>
      <c r="AA3" t="s">
        <v>320</v>
      </c>
      <c r="AB3" t="s">
        <v>321</v>
      </c>
      <c r="AC3" t="s">
        <v>322</v>
      </c>
      <c r="AD3" t="s">
        <v>323</v>
      </c>
      <c r="AE3" t="s">
        <v>324</v>
      </c>
      <c r="AF3" t="s">
        <v>325</v>
      </c>
      <c r="AG3" t="s">
        <v>326</v>
      </c>
      <c r="AH3" t="s">
        <v>327</v>
      </c>
      <c r="AI3" t="s">
        <v>328</v>
      </c>
      <c r="AJ3" t="s">
        <v>329</v>
      </c>
      <c r="AK3" t="s">
        <v>330</v>
      </c>
      <c r="AL3" t="s">
        <v>331</v>
      </c>
      <c r="AM3" t="s">
        <v>332</v>
      </c>
      <c r="AN3" t="s">
        <v>333</v>
      </c>
      <c r="AO3" t="s">
        <v>334</v>
      </c>
      <c r="AP3" t="s">
        <v>335</v>
      </c>
      <c r="AQ3" t="s">
        <v>336</v>
      </c>
      <c r="AR3" t="s">
        <v>337</v>
      </c>
      <c r="AS3" t="s">
        <v>338</v>
      </c>
      <c r="AT3" t="s">
        <v>339</v>
      </c>
      <c r="AU3" t="s">
        <v>340</v>
      </c>
      <c r="AV3" t="s">
        <v>341</v>
      </c>
      <c r="AW3" t="s">
        <v>342</v>
      </c>
      <c r="AX3" t="s">
        <v>343</v>
      </c>
      <c r="AY3" t="s">
        <v>344</v>
      </c>
      <c r="AZ3" t="s">
        <v>345</v>
      </c>
      <c r="BA3" t="s">
        <v>346</v>
      </c>
      <c r="BB3" t="s">
        <v>347</v>
      </c>
      <c r="BC3" t="s">
        <v>348</v>
      </c>
      <c r="BD3">
        <v>1510</v>
      </c>
      <c r="BE3">
        <v>1529</v>
      </c>
      <c r="BF3">
        <v>1527</v>
      </c>
      <c r="BG3">
        <v>1526</v>
      </c>
      <c r="BH3">
        <v>1518</v>
      </c>
      <c r="BI3" t="s">
        <v>349</v>
      </c>
      <c r="BJ3" t="s">
        <v>350</v>
      </c>
      <c r="BK3" t="s">
        <v>351</v>
      </c>
      <c r="BL3" t="s">
        <v>352</v>
      </c>
      <c r="BM3" t="s">
        <v>351</v>
      </c>
      <c r="BN3" t="s">
        <v>353</v>
      </c>
      <c r="BO3" t="s">
        <v>266</v>
      </c>
      <c r="BP3" t="s">
        <v>354</v>
      </c>
      <c r="BQ3" t="s">
        <v>351</v>
      </c>
      <c r="BR3" t="s">
        <v>355</v>
      </c>
      <c r="BS3" t="s">
        <v>356</v>
      </c>
      <c r="BT3" t="s">
        <v>357</v>
      </c>
      <c r="BU3" t="s">
        <v>269</v>
      </c>
      <c r="BV3" t="s">
        <v>358</v>
      </c>
      <c r="BW3" t="s">
        <v>269</v>
      </c>
      <c r="BX3" t="s">
        <v>359</v>
      </c>
      <c r="BY3" t="s">
        <v>207</v>
      </c>
      <c r="BZ3" t="s">
        <v>360</v>
      </c>
      <c r="CA3" t="s">
        <v>361</v>
      </c>
      <c r="CB3" t="s">
        <v>207</v>
      </c>
      <c r="CC3" t="s">
        <v>360</v>
      </c>
      <c r="CD3" t="s">
        <v>362</v>
      </c>
      <c r="CE3" t="s">
        <v>281</v>
      </c>
      <c r="CF3" t="s">
        <v>360</v>
      </c>
      <c r="CG3" t="s">
        <v>363</v>
      </c>
      <c r="CH3" t="s">
        <v>207</v>
      </c>
      <c r="CI3" t="s">
        <v>360</v>
      </c>
      <c r="CJ3" t="s">
        <v>364</v>
      </c>
      <c r="CK3" t="s">
        <v>177</v>
      </c>
      <c r="CL3" t="s">
        <v>360</v>
      </c>
      <c r="CM3" t="s">
        <v>365</v>
      </c>
      <c r="CN3" t="s">
        <v>207</v>
      </c>
      <c r="CO3" t="s">
        <v>360</v>
      </c>
      <c r="CP3" t="s">
        <v>366</v>
      </c>
      <c r="CQ3" t="s">
        <v>207</v>
      </c>
      <c r="CR3" t="s">
        <v>360</v>
      </c>
      <c r="CS3" t="s">
        <v>367</v>
      </c>
      <c r="CT3" t="s">
        <v>216</v>
      </c>
      <c r="CU3" t="s">
        <v>360</v>
      </c>
      <c r="CV3" t="s">
        <v>368</v>
      </c>
      <c r="CW3" t="s">
        <v>207</v>
      </c>
      <c r="CX3" t="s">
        <v>360</v>
      </c>
      <c r="CY3" t="s">
        <v>369</v>
      </c>
      <c r="CZ3" t="s">
        <v>207</v>
      </c>
      <c r="DA3" t="s">
        <v>360</v>
      </c>
      <c r="DB3" t="s">
        <v>370</v>
      </c>
      <c r="DC3" t="s">
        <v>216</v>
      </c>
      <c r="DD3" t="s">
        <v>360</v>
      </c>
      <c r="DE3" t="s">
        <v>371</v>
      </c>
      <c r="DF3" t="s">
        <v>207</v>
      </c>
      <c r="DG3" t="s">
        <v>360</v>
      </c>
      <c r="DH3" t="s">
        <v>372</v>
      </c>
      <c r="DI3" t="s">
        <v>177</v>
      </c>
      <c r="DJ3" t="s">
        <v>360</v>
      </c>
      <c r="DK3" t="s">
        <v>373</v>
      </c>
      <c r="DL3" t="s">
        <v>177</v>
      </c>
      <c r="DM3" t="s">
        <v>360</v>
      </c>
      <c r="DN3" t="s">
        <v>374</v>
      </c>
      <c r="DO3" t="s">
        <v>207</v>
      </c>
      <c r="DP3" t="s">
        <v>360</v>
      </c>
      <c r="DQ3" t="s">
        <v>375</v>
      </c>
      <c r="DR3" t="s">
        <v>207</v>
      </c>
      <c r="DS3" t="s">
        <v>360</v>
      </c>
      <c r="DT3" t="s">
        <v>376</v>
      </c>
      <c r="DU3" t="s">
        <v>216</v>
      </c>
      <c r="DV3" t="s">
        <v>360</v>
      </c>
      <c r="DW3" t="s">
        <v>377</v>
      </c>
      <c r="DX3" t="s">
        <v>177</v>
      </c>
      <c r="DY3" t="s">
        <v>360</v>
      </c>
      <c r="DZ3" t="s">
        <v>378</v>
      </c>
      <c r="EA3" t="s">
        <v>207</v>
      </c>
      <c r="EB3" t="s">
        <v>360</v>
      </c>
      <c r="EC3" t="s">
        <v>379</v>
      </c>
      <c r="ED3" t="s">
        <v>216</v>
      </c>
      <c r="EE3" t="s">
        <v>360</v>
      </c>
      <c r="EF3" t="s">
        <v>380</v>
      </c>
      <c r="EG3" t="s">
        <v>216</v>
      </c>
      <c r="EH3" t="s">
        <v>360</v>
      </c>
      <c r="EI3" t="s">
        <v>381</v>
      </c>
      <c r="EJ3" t="s">
        <v>281</v>
      </c>
      <c r="EK3" t="s">
        <v>360</v>
      </c>
      <c r="EL3" t="s">
        <v>382</v>
      </c>
      <c r="EM3" t="s">
        <v>177</v>
      </c>
      <c r="EN3" t="s">
        <v>360</v>
      </c>
      <c r="EO3" t="s">
        <v>383</v>
      </c>
      <c r="EP3" t="s">
        <v>177</v>
      </c>
      <c r="EQ3" t="s">
        <v>360</v>
      </c>
      <c r="ER3" t="s">
        <v>384</v>
      </c>
      <c r="ES3" t="s">
        <v>300</v>
      </c>
      <c r="ET3" t="s">
        <v>301</v>
      </c>
      <c r="EU3" t="s">
        <v>385</v>
      </c>
      <c r="EV3" t="s">
        <v>301</v>
      </c>
      <c r="EW3" t="s">
        <v>211</v>
      </c>
      <c r="EX3" t="s">
        <v>386</v>
      </c>
      <c r="EY3">
        <v>80</v>
      </c>
      <c r="EZ3">
        <v>50</v>
      </c>
      <c r="FA3" t="s">
        <v>387</v>
      </c>
      <c r="FB3" t="s">
        <v>388</v>
      </c>
      <c r="FC3" t="s">
        <v>389</v>
      </c>
      <c r="FD3" t="s">
        <v>390</v>
      </c>
      <c r="FE3">
        <v>90</v>
      </c>
      <c r="FF3">
        <v>70</v>
      </c>
      <c r="FG3" t="s">
        <v>391</v>
      </c>
    </row>
    <row r="4" spans="1:164" x14ac:dyDescent="0.25">
      <c r="A4">
        <v>3</v>
      </c>
      <c r="B4" t="s">
        <v>164</v>
      </c>
      <c r="C4">
        <v>46</v>
      </c>
      <c r="D4">
        <v>4601</v>
      </c>
      <c r="E4">
        <v>4601</v>
      </c>
      <c r="F4" t="s">
        <v>165</v>
      </c>
      <c r="G4" t="s">
        <v>166</v>
      </c>
      <c r="H4" t="s">
        <v>167</v>
      </c>
      <c r="I4" t="s">
        <v>221</v>
      </c>
      <c r="J4" t="s">
        <v>221</v>
      </c>
      <c r="K4" t="s">
        <v>1598</v>
      </c>
      <c r="L4" t="s">
        <v>1200</v>
      </c>
      <c r="M4" t="s">
        <v>607</v>
      </c>
      <c r="N4" t="s">
        <v>566</v>
      </c>
      <c r="O4" t="s">
        <v>598</v>
      </c>
      <c r="P4">
        <v>30739</v>
      </c>
      <c r="Q4" t="s">
        <v>393</v>
      </c>
      <c r="R4" t="s">
        <v>394</v>
      </c>
      <c r="S4" t="s">
        <v>395</v>
      </c>
      <c r="T4" t="s">
        <v>396</v>
      </c>
      <c r="U4" t="s">
        <v>397</v>
      </c>
      <c r="V4" t="s">
        <v>398</v>
      </c>
      <c r="W4" t="s">
        <v>395</v>
      </c>
      <c r="X4" t="s">
        <v>399</v>
      </c>
      <c r="Y4" t="s">
        <v>400</v>
      </c>
      <c r="Z4" t="s">
        <v>401</v>
      </c>
      <c r="AA4" t="s">
        <v>402</v>
      </c>
      <c r="AB4" t="s">
        <v>403</v>
      </c>
      <c r="AC4" t="s">
        <v>404</v>
      </c>
      <c r="AD4" t="s">
        <v>405</v>
      </c>
      <c r="AE4" t="s">
        <v>402</v>
      </c>
      <c r="AF4" t="s">
        <v>406</v>
      </c>
      <c r="AG4" t="s">
        <v>407</v>
      </c>
      <c r="AH4" t="s">
        <v>408</v>
      </c>
      <c r="AI4" t="s">
        <v>402</v>
      </c>
      <c r="AJ4" t="s">
        <v>409</v>
      </c>
      <c r="AK4" t="s">
        <v>410</v>
      </c>
      <c r="AL4" t="s">
        <v>411</v>
      </c>
      <c r="AM4" t="s">
        <v>412</v>
      </c>
      <c r="AN4" t="s">
        <v>413</v>
      </c>
      <c r="AO4" t="s">
        <v>414</v>
      </c>
      <c r="AP4" t="s">
        <v>415</v>
      </c>
      <c r="AQ4" t="s">
        <v>416</v>
      </c>
      <c r="AR4" t="s">
        <v>417</v>
      </c>
      <c r="AS4" t="s">
        <v>418</v>
      </c>
      <c r="AT4" t="s">
        <v>419</v>
      </c>
      <c r="AU4" t="s">
        <v>420</v>
      </c>
      <c r="AV4" t="s">
        <v>421</v>
      </c>
      <c r="AW4" t="s">
        <v>422</v>
      </c>
      <c r="AX4" t="s">
        <v>423</v>
      </c>
      <c r="AY4" t="s">
        <v>424</v>
      </c>
      <c r="AZ4" t="s">
        <v>425</v>
      </c>
      <c r="BA4" t="s">
        <v>426</v>
      </c>
      <c r="BB4" t="s">
        <v>427</v>
      </c>
      <c r="BC4" t="s">
        <v>428</v>
      </c>
      <c r="BD4">
        <v>1655</v>
      </c>
      <c r="BE4">
        <v>1665</v>
      </c>
      <c r="BF4">
        <v>1659</v>
      </c>
      <c r="BG4">
        <v>1667</v>
      </c>
      <c r="BH4">
        <v>1651</v>
      </c>
      <c r="BI4" t="s">
        <v>349</v>
      </c>
      <c r="BJ4" t="s">
        <v>350</v>
      </c>
      <c r="BK4" t="s">
        <v>351</v>
      </c>
      <c r="BL4" t="s">
        <v>429</v>
      </c>
      <c r="BM4" t="s">
        <v>351</v>
      </c>
      <c r="BN4" t="s">
        <v>430</v>
      </c>
      <c r="BO4" t="s">
        <v>351</v>
      </c>
      <c r="BP4" t="s">
        <v>431</v>
      </c>
      <c r="BQ4" t="s">
        <v>351</v>
      </c>
      <c r="BR4" t="s">
        <v>432</v>
      </c>
      <c r="BS4" t="s">
        <v>433</v>
      </c>
      <c r="BT4" t="s">
        <v>434</v>
      </c>
      <c r="BU4" t="s">
        <v>435</v>
      </c>
      <c r="BV4" t="s">
        <v>436</v>
      </c>
      <c r="BW4" t="s">
        <v>437</v>
      </c>
      <c r="BX4" t="s">
        <v>438</v>
      </c>
      <c r="BY4" t="s">
        <v>281</v>
      </c>
      <c r="BZ4" t="s">
        <v>439</v>
      </c>
      <c r="CA4" t="s">
        <v>440</v>
      </c>
      <c r="CB4" t="s">
        <v>281</v>
      </c>
      <c r="CC4" t="s">
        <v>439</v>
      </c>
      <c r="CD4" t="s">
        <v>441</v>
      </c>
      <c r="CE4" t="s">
        <v>281</v>
      </c>
      <c r="CF4" t="s">
        <v>439</v>
      </c>
      <c r="CG4" t="s">
        <v>442</v>
      </c>
      <c r="CH4" t="s">
        <v>207</v>
      </c>
      <c r="CI4" t="s">
        <v>439</v>
      </c>
      <c r="CJ4" t="s">
        <v>443</v>
      </c>
      <c r="CK4" t="s">
        <v>207</v>
      </c>
      <c r="CL4" t="s">
        <v>439</v>
      </c>
      <c r="CM4" t="s">
        <v>444</v>
      </c>
      <c r="CN4" t="s">
        <v>281</v>
      </c>
      <c r="CO4" t="s">
        <v>439</v>
      </c>
      <c r="CP4" t="s">
        <v>445</v>
      </c>
      <c r="CQ4" t="s">
        <v>281</v>
      </c>
      <c r="CR4" t="s">
        <v>446</v>
      </c>
      <c r="CS4" t="s">
        <v>447</v>
      </c>
      <c r="CT4" t="s">
        <v>207</v>
      </c>
      <c r="CU4" t="s">
        <v>446</v>
      </c>
      <c r="CV4" t="s">
        <v>448</v>
      </c>
      <c r="CW4" t="s">
        <v>207</v>
      </c>
      <c r="CX4" t="s">
        <v>439</v>
      </c>
      <c r="CY4" t="s">
        <v>449</v>
      </c>
      <c r="CZ4" t="s">
        <v>207</v>
      </c>
      <c r="DA4" t="s">
        <v>439</v>
      </c>
      <c r="DB4" t="s">
        <v>450</v>
      </c>
      <c r="DC4" t="s">
        <v>177</v>
      </c>
      <c r="DD4" t="s">
        <v>446</v>
      </c>
      <c r="DE4" t="s">
        <v>451</v>
      </c>
      <c r="DF4" t="s">
        <v>207</v>
      </c>
      <c r="DG4" t="s">
        <v>439</v>
      </c>
      <c r="DH4" t="s">
        <v>452</v>
      </c>
      <c r="DI4" t="s">
        <v>281</v>
      </c>
      <c r="DJ4" t="s">
        <v>439</v>
      </c>
      <c r="DK4" t="s">
        <v>453</v>
      </c>
      <c r="DL4" t="s">
        <v>281</v>
      </c>
      <c r="DM4" t="s">
        <v>439</v>
      </c>
      <c r="DN4" t="s">
        <v>454</v>
      </c>
      <c r="DO4" t="s">
        <v>281</v>
      </c>
      <c r="DP4" t="s">
        <v>439</v>
      </c>
      <c r="DQ4" t="s">
        <v>455</v>
      </c>
      <c r="DR4" t="s">
        <v>281</v>
      </c>
      <c r="DS4" t="s">
        <v>446</v>
      </c>
      <c r="DT4" t="s">
        <v>456</v>
      </c>
      <c r="DU4" t="s">
        <v>177</v>
      </c>
      <c r="DV4" t="s">
        <v>439</v>
      </c>
      <c r="DW4" t="s">
        <v>457</v>
      </c>
      <c r="DX4" t="s">
        <v>207</v>
      </c>
      <c r="DY4" t="s">
        <v>446</v>
      </c>
      <c r="DZ4" t="s">
        <v>458</v>
      </c>
      <c r="EA4" t="s">
        <v>174</v>
      </c>
      <c r="EB4" t="s">
        <v>446</v>
      </c>
      <c r="EC4" t="s">
        <v>459</v>
      </c>
      <c r="ED4" t="s">
        <v>207</v>
      </c>
      <c r="EE4" t="s">
        <v>446</v>
      </c>
      <c r="EF4" t="s">
        <v>460</v>
      </c>
      <c r="EG4" t="s">
        <v>177</v>
      </c>
      <c r="EH4" t="s">
        <v>439</v>
      </c>
      <c r="EI4" t="s">
        <v>461</v>
      </c>
      <c r="EJ4" t="s">
        <v>201</v>
      </c>
      <c r="EK4" t="s">
        <v>446</v>
      </c>
      <c r="EL4" t="s">
        <v>462</v>
      </c>
      <c r="EM4" t="s">
        <v>207</v>
      </c>
      <c r="EN4" t="s">
        <v>446</v>
      </c>
      <c r="EO4" t="s">
        <v>463</v>
      </c>
      <c r="EP4" t="s">
        <v>207</v>
      </c>
      <c r="EQ4" t="s">
        <v>439</v>
      </c>
      <c r="ER4" t="s">
        <v>464</v>
      </c>
      <c r="ES4" t="s">
        <v>300</v>
      </c>
      <c r="ET4" t="s">
        <v>301</v>
      </c>
      <c r="EU4" t="s">
        <v>465</v>
      </c>
      <c r="EV4" t="s">
        <v>211</v>
      </c>
      <c r="EW4" t="s">
        <v>186</v>
      </c>
      <c r="EX4" t="s">
        <v>466</v>
      </c>
      <c r="EY4">
        <v>90</v>
      </c>
      <c r="EZ4">
        <v>70</v>
      </c>
      <c r="FA4" t="s">
        <v>467</v>
      </c>
      <c r="FB4" t="s">
        <v>468</v>
      </c>
      <c r="FC4" t="s">
        <v>305</v>
      </c>
      <c r="FD4" t="s">
        <v>469</v>
      </c>
      <c r="FE4">
        <v>90</v>
      </c>
      <c r="FF4">
        <v>70</v>
      </c>
      <c r="FG4" t="s">
        <v>470</v>
      </c>
    </row>
    <row r="5" spans="1:164" x14ac:dyDescent="0.25">
      <c r="A5">
        <v>4</v>
      </c>
      <c r="B5" t="s">
        <v>164</v>
      </c>
      <c r="C5">
        <v>46</v>
      </c>
      <c r="D5">
        <v>4601</v>
      </c>
      <c r="E5">
        <v>874738352</v>
      </c>
      <c r="F5" t="s">
        <v>165</v>
      </c>
      <c r="G5" t="s">
        <v>166</v>
      </c>
      <c r="H5" t="s">
        <v>167</v>
      </c>
      <c r="I5" t="s">
        <v>471</v>
      </c>
      <c r="J5" t="s">
        <v>471</v>
      </c>
      <c r="K5" t="s">
        <v>498</v>
      </c>
      <c r="L5" t="s">
        <v>965</v>
      </c>
      <c r="M5" t="s">
        <v>965</v>
      </c>
      <c r="N5" t="s">
        <v>731</v>
      </c>
      <c r="O5" t="s">
        <v>604</v>
      </c>
      <c r="P5" t="s">
        <v>472</v>
      </c>
      <c r="Q5" t="s">
        <v>473</v>
      </c>
      <c r="R5" t="s">
        <v>474</v>
      </c>
      <c r="T5" t="s">
        <v>475</v>
      </c>
      <c r="U5" t="s">
        <v>476</v>
      </c>
      <c r="V5" t="s">
        <v>170</v>
      </c>
      <c r="X5" t="s">
        <v>477</v>
      </c>
      <c r="Y5" t="s">
        <v>473</v>
      </c>
      <c r="Z5" t="s">
        <v>473</v>
      </c>
      <c r="AB5" t="s">
        <v>478</v>
      </c>
      <c r="AC5" t="s">
        <v>476</v>
      </c>
      <c r="AD5" t="s">
        <v>476</v>
      </c>
      <c r="AF5" t="s">
        <v>479</v>
      </c>
      <c r="AG5" t="s">
        <v>480</v>
      </c>
      <c r="AH5" t="s">
        <v>481</v>
      </c>
      <c r="AJ5" t="s">
        <v>179</v>
      </c>
      <c r="AK5" t="s">
        <v>482</v>
      </c>
      <c r="AL5" t="s">
        <v>483</v>
      </c>
      <c r="AM5" t="s">
        <v>266</v>
      </c>
      <c r="AN5" t="s">
        <v>182</v>
      </c>
      <c r="AO5" t="s">
        <v>484</v>
      </c>
      <c r="AP5" t="s">
        <v>485</v>
      </c>
      <c r="AQ5" t="s">
        <v>486</v>
      </c>
      <c r="AR5" t="s">
        <v>187</v>
      </c>
      <c r="AS5" t="s">
        <v>487</v>
      </c>
      <c r="AT5" t="s">
        <v>488</v>
      </c>
      <c r="AU5" t="s">
        <v>202</v>
      </c>
      <c r="AV5" t="s">
        <v>489</v>
      </c>
      <c r="AW5" t="s">
        <v>490</v>
      </c>
      <c r="AX5" t="s">
        <v>491</v>
      </c>
      <c r="AY5" t="s">
        <v>208</v>
      </c>
      <c r="AZ5" t="s">
        <v>179</v>
      </c>
      <c r="BA5" t="s">
        <v>492</v>
      </c>
      <c r="BB5" t="s">
        <v>493</v>
      </c>
      <c r="BC5" t="s">
        <v>351</v>
      </c>
      <c r="BD5">
        <v>1615</v>
      </c>
      <c r="BE5">
        <v>1509</v>
      </c>
      <c r="BF5">
        <v>1433</v>
      </c>
      <c r="BG5">
        <v>1640</v>
      </c>
      <c r="BH5">
        <v>1485</v>
      </c>
      <c r="BY5" t="s">
        <v>205</v>
      </c>
      <c r="BZ5" t="s">
        <v>494</v>
      </c>
      <c r="CA5" t="s">
        <v>174</v>
      </c>
      <c r="CB5" t="s">
        <v>174</v>
      </c>
      <c r="CC5" t="s">
        <v>495</v>
      </c>
      <c r="CD5" t="s">
        <v>281</v>
      </c>
      <c r="CE5" t="s">
        <v>496</v>
      </c>
      <c r="CF5" t="s">
        <v>214</v>
      </c>
      <c r="CG5" t="s">
        <v>174</v>
      </c>
      <c r="CH5" t="s">
        <v>201</v>
      </c>
      <c r="CI5" t="s">
        <v>486</v>
      </c>
      <c r="CJ5" t="s">
        <v>171</v>
      </c>
      <c r="CK5" t="s">
        <v>174</v>
      </c>
      <c r="CL5" t="s">
        <v>214</v>
      </c>
      <c r="CM5" t="s">
        <v>191</v>
      </c>
      <c r="CN5" t="s">
        <v>174</v>
      </c>
      <c r="CO5" t="s">
        <v>202</v>
      </c>
      <c r="CP5" t="s">
        <v>171</v>
      </c>
      <c r="CQ5" t="s">
        <v>496</v>
      </c>
      <c r="CR5" t="s">
        <v>211</v>
      </c>
      <c r="CS5" t="s">
        <v>209</v>
      </c>
      <c r="CT5" t="s">
        <v>177</v>
      </c>
      <c r="CU5" t="s">
        <v>204</v>
      </c>
      <c r="CV5" t="s">
        <v>209</v>
      </c>
      <c r="CW5" t="s">
        <v>201</v>
      </c>
      <c r="CX5" t="s">
        <v>486</v>
      </c>
      <c r="CY5" t="s">
        <v>209</v>
      </c>
      <c r="CZ5" t="s">
        <v>281</v>
      </c>
      <c r="DA5" t="s">
        <v>497</v>
      </c>
      <c r="DB5" t="s">
        <v>177</v>
      </c>
      <c r="DC5" t="s">
        <v>207</v>
      </c>
      <c r="DD5" t="s">
        <v>213</v>
      </c>
      <c r="DE5" t="s">
        <v>216</v>
      </c>
      <c r="DF5" t="s">
        <v>205</v>
      </c>
      <c r="DG5" t="s">
        <v>497</v>
      </c>
      <c r="DH5" t="s">
        <v>216</v>
      </c>
      <c r="FH5" t="s">
        <v>498</v>
      </c>
    </row>
    <row r="6" spans="1:164" x14ac:dyDescent="0.25">
      <c r="A6">
        <v>4</v>
      </c>
      <c r="B6" t="s">
        <v>164</v>
      </c>
      <c r="C6">
        <v>46</v>
      </c>
      <c r="D6">
        <v>4601</v>
      </c>
      <c r="E6">
        <v>986171096</v>
      </c>
      <c r="F6" t="s">
        <v>165</v>
      </c>
      <c r="G6" t="s">
        <v>166</v>
      </c>
      <c r="H6" t="s">
        <v>167</v>
      </c>
      <c r="I6" t="s">
        <v>499</v>
      </c>
      <c r="J6" t="s">
        <v>499</v>
      </c>
      <c r="K6" t="s">
        <v>526</v>
      </c>
      <c r="L6" t="s">
        <v>716</v>
      </c>
      <c r="M6" t="s">
        <v>604</v>
      </c>
      <c r="N6" t="s">
        <v>604</v>
      </c>
      <c r="O6" t="s">
        <v>604</v>
      </c>
      <c r="P6" t="s">
        <v>500</v>
      </c>
      <c r="Q6" t="s">
        <v>501</v>
      </c>
      <c r="R6" t="s">
        <v>502</v>
      </c>
      <c r="T6" t="s">
        <v>503</v>
      </c>
      <c r="U6" t="s">
        <v>504</v>
      </c>
      <c r="V6" t="s">
        <v>505</v>
      </c>
      <c r="X6" t="s">
        <v>506</v>
      </c>
      <c r="Y6" t="s">
        <v>502</v>
      </c>
      <c r="Z6" t="s">
        <v>504</v>
      </c>
      <c r="AB6" t="s">
        <v>507</v>
      </c>
      <c r="AC6" t="s">
        <v>508</v>
      </c>
      <c r="AD6" t="s">
        <v>501</v>
      </c>
      <c r="AF6" t="s">
        <v>509</v>
      </c>
      <c r="AG6" t="s">
        <v>481</v>
      </c>
      <c r="AH6" t="s">
        <v>473</v>
      </c>
      <c r="AJ6" t="s">
        <v>176</v>
      </c>
      <c r="AK6" t="s">
        <v>510</v>
      </c>
      <c r="AL6" t="s">
        <v>511</v>
      </c>
      <c r="AM6" t="s">
        <v>494</v>
      </c>
      <c r="AN6" t="s">
        <v>512</v>
      </c>
      <c r="AO6" t="s">
        <v>513</v>
      </c>
      <c r="AP6" t="s">
        <v>514</v>
      </c>
      <c r="AQ6" t="s">
        <v>495</v>
      </c>
      <c r="AR6" t="s">
        <v>474</v>
      </c>
      <c r="AS6" t="s">
        <v>515</v>
      </c>
      <c r="AT6" t="s">
        <v>516</v>
      </c>
      <c r="AU6" t="s">
        <v>301</v>
      </c>
      <c r="AV6" t="s">
        <v>182</v>
      </c>
      <c r="AW6" t="s">
        <v>517</v>
      </c>
      <c r="AX6" t="s">
        <v>518</v>
      </c>
      <c r="AY6" t="s">
        <v>186</v>
      </c>
      <c r="AZ6" t="s">
        <v>519</v>
      </c>
      <c r="BA6" t="s">
        <v>520</v>
      </c>
      <c r="BB6" t="s">
        <v>521</v>
      </c>
      <c r="BC6" t="s">
        <v>522</v>
      </c>
      <c r="BD6">
        <v>1648</v>
      </c>
      <c r="BE6">
        <v>1654</v>
      </c>
      <c r="BF6">
        <v>1691</v>
      </c>
      <c r="BG6">
        <v>1609</v>
      </c>
      <c r="BH6">
        <v>1521</v>
      </c>
      <c r="BY6" t="s">
        <v>174</v>
      </c>
      <c r="BZ6" t="s">
        <v>486</v>
      </c>
      <c r="CA6" t="s">
        <v>523</v>
      </c>
      <c r="CB6" t="s">
        <v>496</v>
      </c>
      <c r="CC6" t="s">
        <v>202</v>
      </c>
      <c r="CD6" t="s">
        <v>523</v>
      </c>
      <c r="CE6" t="s">
        <v>201</v>
      </c>
      <c r="CF6" t="s">
        <v>214</v>
      </c>
      <c r="CG6" t="s">
        <v>523</v>
      </c>
      <c r="CH6" t="s">
        <v>281</v>
      </c>
      <c r="CI6" t="s">
        <v>213</v>
      </c>
      <c r="CJ6" t="s">
        <v>177</v>
      </c>
      <c r="CK6" t="s">
        <v>201</v>
      </c>
      <c r="CL6" t="s">
        <v>494</v>
      </c>
      <c r="CM6" t="s">
        <v>216</v>
      </c>
      <c r="CN6" t="s">
        <v>177</v>
      </c>
      <c r="CO6" t="s">
        <v>214</v>
      </c>
      <c r="CP6" t="s">
        <v>216</v>
      </c>
      <c r="CQ6" t="s">
        <v>207</v>
      </c>
      <c r="CR6" t="s">
        <v>204</v>
      </c>
      <c r="CS6" t="s">
        <v>524</v>
      </c>
      <c r="CT6" t="s">
        <v>215</v>
      </c>
      <c r="CU6" t="s">
        <v>208</v>
      </c>
      <c r="CV6" t="s">
        <v>524</v>
      </c>
      <c r="CW6" t="s">
        <v>207</v>
      </c>
      <c r="CX6" t="s">
        <v>202</v>
      </c>
      <c r="CY6" t="s">
        <v>203</v>
      </c>
      <c r="CZ6" t="s">
        <v>174</v>
      </c>
      <c r="DA6" t="s">
        <v>204</v>
      </c>
      <c r="DB6" t="s">
        <v>525</v>
      </c>
      <c r="DC6" t="s">
        <v>174</v>
      </c>
      <c r="DD6" t="s">
        <v>214</v>
      </c>
      <c r="DE6" t="s">
        <v>525</v>
      </c>
      <c r="DF6" t="s">
        <v>183</v>
      </c>
      <c r="DG6" t="s">
        <v>213</v>
      </c>
      <c r="DH6" t="s">
        <v>525</v>
      </c>
      <c r="FH6" t="s">
        <v>526</v>
      </c>
    </row>
    <row r="7" spans="1:164" x14ac:dyDescent="0.25">
      <c r="A7">
        <v>4</v>
      </c>
      <c r="B7" t="s">
        <v>164</v>
      </c>
      <c r="C7">
        <v>46</v>
      </c>
      <c r="D7">
        <v>4601</v>
      </c>
      <c r="E7">
        <v>974222078</v>
      </c>
      <c r="F7" t="s">
        <v>165</v>
      </c>
      <c r="G7" t="s">
        <v>166</v>
      </c>
      <c r="H7" t="s">
        <v>167</v>
      </c>
      <c r="I7" t="s">
        <v>578</v>
      </c>
      <c r="J7" t="s">
        <v>578</v>
      </c>
      <c r="K7" t="s">
        <v>602</v>
      </c>
      <c r="L7" t="s">
        <v>598</v>
      </c>
      <c r="M7" t="s">
        <v>604</v>
      </c>
      <c r="N7" t="s">
        <v>731</v>
      </c>
      <c r="O7" t="s">
        <v>604</v>
      </c>
      <c r="P7" t="s">
        <v>579</v>
      </c>
      <c r="Q7" t="s">
        <v>580</v>
      </c>
      <c r="R7" t="s">
        <v>496</v>
      </c>
      <c r="T7" t="s">
        <v>579</v>
      </c>
      <c r="U7" t="s">
        <v>581</v>
      </c>
      <c r="V7" t="s">
        <v>582</v>
      </c>
      <c r="X7" t="s">
        <v>583</v>
      </c>
      <c r="Y7" t="s">
        <v>170</v>
      </c>
      <c r="Z7" t="s">
        <v>584</v>
      </c>
      <c r="AB7" t="s">
        <v>585</v>
      </c>
      <c r="AC7" t="s">
        <v>173</v>
      </c>
      <c r="AD7" t="s">
        <v>586</v>
      </c>
      <c r="AF7" t="s">
        <v>587</v>
      </c>
      <c r="AG7" t="s">
        <v>173</v>
      </c>
      <c r="AH7" t="s">
        <v>180</v>
      </c>
      <c r="AJ7" t="s">
        <v>588</v>
      </c>
      <c r="AK7" t="s">
        <v>589</v>
      </c>
      <c r="AL7" t="s">
        <v>590</v>
      </c>
      <c r="AM7" t="s">
        <v>495</v>
      </c>
      <c r="AN7" t="s">
        <v>588</v>
      </c>
      <c r="AO7" t="s">
        <v>591</v>
      </c>
      <c r="AP7" t="s">
        <v>592</v>
      </c>
      <c r="AQ7" t="s">
        <v>213</v>
      </c>
      <c r="AR7" t="s">
        <v>593</v>
      </c>
      <c r="AS7" t="s">
        <v>594</v>
      </c>
      <c r="AT7" t="s">
        <v>188</v>
      </c>
      <c r="AU7" t="s">
        <v>208</v>
      </c>
      <c r="AV7" t="s">
        <v>595</v>
      </c>
      <c r="AW7" t="s">
        <v>596</v>
      </c>
      <c r="AX7" t="s">
        <v>597</v>
      </c>
      <c r="AY7" t="s">
        <v>598</v>
      </c>
      <c r="AZ7" t="s">
        <v>595</v>
      </c>
      <c r="BA7" t="s">
        <v>599</v>
      </c>
      <c r="BB7" t="s">
        <v>597</v>
      </c>
      <c r="BC7" t="s">
        <v>266</v>
      </c>
      <c r="BD7">
        <v>1651</v>
      </c>
      <c r="BE7">
        <v>1693</v>
      </c>
      <c r="BF7">
        <v>1683</v>
      </c>
      <c r="BG7">
        <v>1677</v>
      </c>
      <c r="BH7">
        <v>1676</v>
      </c>
      <c r="BY7" t="s">
        <v>201</v>
      </c>
      <c r="BZ7" t="s">
        <v>204</v>
      </c>
      <c r="CA7" t="s">
        <v>281</v>
      </c>
      <c r="CB7" t="s">
        <v>201</v>
      </c>
      <c r="CC7" t="s">
        <v>495</v>
      </c>
      <c r="CD7" t="s">
        <v>281</v>
      </c>
      <c r="CE7" t="s">
        <v>496</v>
      </c>
      <c r="CF7" t="s">
        <v>214</v>
      </c>
      <c r="CG7" t="s">
        <v>281</v>
      </c>
      <c r="CH7" t="s">
        <v>201</v>
      </c>
      <c r="CI7" t="s">
        <v>557</v>
      </c>
      <c r="CJ7" t="s">
        <v>215</v>
      </c>
      <c r="CK7" t="s">
        <v>281</v>
      </c>
      <c r="CL7" t="s">
        <v>204</v>
      </c>
      <c r="CM7" t="s">
        <v>217</v>
      </c>
      <c r="CN7" t="s">
        <v>600</v>
      </c>
      <c r="CO7" t="s">
        <v>497</v>
      </c>
      <c r="CP7" t="s">
        <v>217</v>
      </c>
      <c r="CQ7" t="s">
        <v>183</v>
      </c>
      <c r="CR7" t="s">
        <v>206</v>
      </c>
      <c r="CS7" t="s">
        <v>525</v>
      </c>
      <c r="CT7" t="s">
        <v>281</v>
      </c>
      <c r="CU7" t="s">
        <v>557</v>
      </c>
      <c r="CV7" t="s">
        <v>525</v>
      </c>
      <c r="CW7" t="s">
        <v>496</v>
      </c>
      <c r="CX7" t="s">
        <v>211</v>
      </c>
      <c r="CY7" t="s">
        <v>215</v>
      </c>
      <c r="CZ7" t="s">
        <v>207</v>
      </c>
      <c r="DA7" t="s">
        <v>213</v>
      </c>
      <c r="DB7" t="s">
        <v>601</v>
      </c>
      <c r="DC7" t="s">
        <v>177</v>
      </c>
      <c r="DD7" t="s">
        <v>497</v>
      </c>
      <c r="DE7" t="s">
        <v>601</v>
      </c>
      <c r="DF7" t="s">
        <v>174</v>
      </c>
      <c r="DG7" t="s">
        <v>214</v>
      </c>
      <c r="DH7" t="s">
        <v>601</v>
      </c>
      <c r="FH7" t="s">
        <v>602</v>
      </c>
    </row>
    <row r="8" spans="1:164" x14ac:dyDescent="0.25">
      <c r="A8">
        <v>4</v>
      </c>
      <c r="B8" t="s">
        <v>164</v>
      </c>
      <c r="C8">
        <v>46</v>
      </c>
      <c r="D8">
        <v>4601</v>
      </c>
      <c r="E8">
        <v>974309424</v>
      </c>
      <c r="F8" t="s">
        <v>165</v>
      </c>
      <c r="G8" t="s">
        <v>166</v>
      </c>
      <c r="H8" t="s">
        <v>167</v>
      </c>
      <c r="I8" t="s">
        <v>609</v>
      </c>
      <c r="J8" t="s">
        <v>609</v>
      </c>
      <c r="K8" t="s">
        <v>636</v>
      </c>
      <c r="P8" t="s">
        <v>610</v>
      </c>
      <c r="Q8" t="s">
        <v>182</v>
      </c>
      <c r="R8" t="s">
        <v>473</v>
      </c>
      <c r="T8" t="s">
        <v>611</v>
      </c>
      <c r="U8" t="s">
        <v>612</v>
      </c>
      <c r="V8" t="s">
        <v>581</v>
      </c>
      <c r="X8" t="s">
        <v>613</v>
      </c>
      <c r="Y8" t="s">
        <v>173</v>
      </c>
      <c r="Z8" t="s">
        <v>529</v>
      </c>
      <c r="AB8" t="s">
        <v>614</v>
      </c>
      <c r="AC8" t="s">
        <v>512</v>
      </c>
      <c r="AD8" t="s">
        <v>588</v>
      </c>
      <c r="AF8" t="s">
        <v>615</v>
      </c>
      <c r="AG8" t="s">
        <v>519</v>
      </c>
      <c r="AH8" t="s">
        <v>519</v>
      </c>
      <c r="AJ8" t="s">
        <v>179</v>
      </c>
      <c r="AK8" t="s">
        <v>616</v>
      </c>
      <c r="AL8" t="s">
        <v>617</v>
      </c>
      <c r="AM8" t="s">
        <v>618</v>
      </c>
      <c r="AN8" t="s">
        <v>179</v>
      </c>
      <c r="AO8" t="s">
        <v>619</v>
      </c>
      <c r="AP8" t="s">
        <v>620</v>
      </c>
      <c r="AQ8" t="s">
        <v>522</v>
      </c>
      <c r="AR8" t="s">
        <v>519</v>
      </c>
      <c r="AS8" t="s">
        <v>511</v>
      </c>
      <c r="AT8" t="s">
        <v>621</v>
      </c>
      <c r="AU8" t="s">
        <v>494</v>
      </c>
      <c r="AV8" t="s">
        <v>612</v>
      </c>
      <c r="AW8" t="s">
        <v>483</v>
      </c>
      <c r="AX8" t="s">
        <v>622</v>
      </c>
      <c r="AY8" t="s">
        <v>623</v>
      </c>
      <c r="AZ8" t="s">
        <v>191</v>
      </c>
      <c r="BA8" t="s">
        <v>624</v>
      </c>
      <c r="BB8" t="s">
        <v>625</v>
      </c>
      <c r="BC8" t="s">
        <v>626</v>
      </c>
      <c r="BD8">
        <v>1370</v>
      </c>
      <c r="BE8">
        <v>1851</v>
      </c>
      <c r="BF8">
        <v>1504</v>
      </c>
      <c r="BG8">
        <v>1647</v>
      </c>
      <c r="BH8">
        <v>1609</v>
      </c>
      <c r="BI8" t="s">
        <v>349</v>
      </c>
      <c r="BJ8" t="s">
        <v>350</v>
      </c>
      <c r="BK8" t="s">
        <v>604</v>
      </c>
      <c r="BL8" t="s">
        <v>604</v>
      </c>
      <c r="BM8" t="s">
        <v>604</v>
      </c>
      <c r="BN8" t="s">
        <v>604</v>
      </c>
      <c r="BO8" t="s">
        <v>351</v>
      </c>
      <c r="BP8" t="s">
        <v>505</v>
      </c>
      <c r="BQ8" t="s">
        <v>604</v>
      </c>
      <c r="BR8" t="s">
        <v>604</v>
      </c>
      <c r="BS8" t="s">
        <v>541</v>
      </c>
      <c r="BT8" t="s">
        <v>501</v>
      </c>
      <c r="BU8" t="s">
        <v>627</v>
      </c>
      <c r="BV8" t="s">
        <v>505</v>
      </c>
      <c r="BW8" t="s">
        <v>628</v>
      </c>
      <c r="BX8" t="s">
        <v>529</v>
      </c>
      <c r="BY8" t="s">
        <v>177</v>
      </c>
      <c r="BZ8" t="s">
        <v>266</v>
      </c>
      <c r="CA8" t="s">
        <v>529</v>
      </c>
      <c r="CB8" t="s">
        <v>216</v>
      </c>
      <c r="CC8" t="s">
        <v>186</v>
      </c>
      <c r="CD8" t="s">
        <v>474</v>
      </c>
      <c r="CE8" t="s">
        <v>217</v>
      </c>
      <c r="CF8" t="s">
        <v>550</v>
      </c>
      <c r="CG8" t="s">
        <v>170</v>
      </c>
      <c r="CH8" t="s">
        <v>201</v>
      </c>
      <c r="CI8" t="s">
        <v>202</v>
      </c>
      <c r="CJ8" t="s">
        <v>473</v>
      </c>
      <c r="CK8" t="s">
        <v>525</v>
      </c>
      <c r="CL8" t="s">
        <v>208</v>
      </c>
      <c r="CM8" t="s">
        <v>170</v>
      </c>
      <c r="CN8" t="s">
        <v>177</v>
      </c>
      <c r="CO8" t="s">
        <v>211</v>
      </c>
      <c r="CP8" t="s">
        <v>581</v>
      </c>
      <c r="CQ8" t="s">
        <v>201</v>
      </c>
      <c r="CR8" t="s">
        <v>550</v>
      </c>
      <c r="CS8" t="s">
        <v>476</v>
      </c>
      <c r="CT8" t="s">
        <v>177</v>
      </c>
      <c r="CU8" t="s">
        <v>486</v>
      </c>
      <c r="CV8" t="s">
        <v>476</v>
      </c>
      <c r="CW8" t="s">
        <v>281</v>
      </c>
      <c r="CX8" t="s">
        <v>629</v>
      </c>
      <c r="CY8" t="s">
        <v>476</v>
      </c>
      <c r="CZ8" t="s">
        <v>281</v>
      </c>
      <c r="DA8" t="s">
        <v>550</v>
      </c>
      <c r="DB8" t="s">
        <v>170</v>
      </c>
      <c r="DC8" t="s">
        <v>177</v>
      </c>
      <c r="DD8" t="s">
        <v>630</v>
      </c>
      <c r="DE8" t="s">
        <v>476</v>
      </c>
      <c r="DF8" t="s">
        <v>210</v>
      </c>
      <c r="DG8" t="s">
        <v>631</v>
      </c>
      <c r="DH8" t="s">
        <v>170</v>
      </c>
      <c r="DI8" t="s">
        <v>216</v>
      </c>
      <c r="DJ8" t="s">
        <v>206</v>
      </c>
      <c r="DK8" t="s">
        <v>529</v>
      </c>
      <c r="DL8" t="s">
        <v>216</v>
      </c>
      <c r="DM8" t="s">
        <v>204</v>
      </c>
      <c r="DN8" t="s">
        <v>473</v>
      </c>
      <c r="DO8" t="s">
        <v>217</v>
      </c>
      <c r="DP8" t="s">
        <v>632</v>
      </c>
      <c r="DQ8" t="s">
        <v>173</v>
      </c>
      <c r="DR8" t="s">
        <v>210</v>
      </c>
      <c r="DS8" t="s">
        <v>633</v>
      </c>
      <c r="DT8" t="s">
        <v>480</v>
      </c>
      <c r="DU8" t="s">
        <v>215</v>
      </c>
      <c r="DV8" t="s">
        <v>633</v>
      </c>
      <c r="DW8" t="s">
        <v>505</v>
      </c>
      <c r="DX8" t="s">
        <v>217</v>
      </c>
      <c r="DY8" t="s">
        <v>522</v>
      </c>
      <c r="DZ8" t="s">
        <v>504</v>
      </c>
      <c r="EA8" t="s">
        <v>207</v>
      </c>
      <c r="EB8" t="s">
        <v>208</v>
      </c>
      <c r="EC8" t="s">
        <v>473</v>
      </c>
      <c r="ED8" t="s">
        <v>525</v>
      </c>
      <c r="EE8" t="s">
        <v>186</v>
      </c>
      <c r="EF8" t="s">
        <v>473</v>
      </c>
      <c r="EG8" t="s">
        <v>216</v>
      </c>
      <c r="EH8" t="s">
        <v>633</v>
      </c>
      <c r="EI8" t="s">
        <v>476</v>
      </c>
      <c r="EJ8" t="s">
        <v>207</v>
      </c>
      <c r="EK8" t="s">
        <v>206</v>
      </c>
      <c r="EL8" t="s">
        <v>476</v>
      </c>
      <c r="EM8" t="s">
        <v>210</v>
      </c>
      <c r="EN8" t="s">
        <v>630</v>
      </c>
      <c r="EO8" t="s">
        <v>476</v>
      </c>
      <c r="EP8" t="s">
        <v>215</v>
      </c>
      <c r="EQ8" t="s">
        <v>497</v>
      </c>
      <c r="ER8" t="s">
        <v>501</v>
      </c>
      <c r="ES8" t="s">
        <v>211</v>
      </c>
      <c r="ET8" t="s">
        <v>211</v>
      </c>
      <c r="EU8" t="s">
        <v>474</v>
      </c>
      <c r="EV8" t="s">
        <v>389</v>
      </c>
      <c r="EW8" t="s">
        <v>214</v>
      </c>
      <c r="EX8" t="s">
        <v>529</v>
      </c>
      <c r="EY8">
        <v>100</v>
      </c>
      <c r="EZ8">
        <v>30</v>
      </c>
      <c r="FA8" t="s">
        <v>170</v>
      </c>
      <c r="FB8" t="s">
        <v>634</v>
      </c>
      <c r="FC8" t="s">
        <v>635</v>
      </c>
      <c r="FD8" t="s">
        <v>580</v>
      </c>
      <c r="FE8">
        <v>105</v>
      </c>
      <c r="FF8">
        <v>30</v>
      </c>
      <c r="FG8" t="s">
        <v>533</v>
      </c>
      <c r="FH8" t="s">
        <v>636</v>
      </c>
    </row>
    <row r="9" spans="1:164" x14ac:dyDescent="0.25">
      <c r="A9">
        <v>4</v>
      </c>
      <c r="B9" t="s">
        <v>164</v>
      </c>
      <c r="C9">
        <v>46</v>
      </c>
      <c r="D9">
        <v>4601</v>
      </c>
      <c r="E9">
        <v>992780010</v>
      </c>
      <c r="F9" t="s">
        <v>165</v>
      </c>
      <c r="G9" t="s">
        <v>166</v>
      </c>
      <c r="H9" t="s">
        <v>167</v>
      </c>
      <c r="I9" t="s">
        <v>638</v>
      </c>
      <c r="J9" t="s">
        <v>638</v>
      </c>
      <c r="K9" t="s">
        <v>653</v>
      </c>
      <c r="L9" t="s">
        <v>604</v>
      </c>
      <c r="M9" t="s">
        <v>604</v>
      </c>
      <c r="N9" t="s">
        <v>731</v>
      </c>
      <c r="O9" t="s">
        <v>731</v>
      </c>
      <c r="P9" t="s">
        <v>639</v>
      </c>
      <c r="Q9" t="s">
        <v>604</v>
      </c>
      <c r="R9" t="s">
        <v>556</v>
      </c>
      <c r="T9" t="s">
        <v>402</v>
      </c>
      <c r="U9" t="s">
        <v>604</v>
      </c>
      <c r="V9" t="s">
        <v>556</v>
      </c>
      <c r="X9" t="s">
        <v>402</v>
      </c>
      <c r="Y9" t="s">
        <v>604</v>
      </c>
      <c r="Z9" t="s">
        <v>556</v>
      </c>
      <c r="AB9" t="s">
        <v>568</v>
      </c>
      <c r="AC9" t="s">
        <v>481</v>
      </c>
      <c r="AD9" t="s">
        <v>556</v>
      </c>
      <c r="AF9" t="s">
        <v>567</v>
      </c>
      <c r="AG9" t="s">
        <v>481</v>
      </c>
      <c r="AH9" t="s">
        <v>556</v>
      </c>
      <c r="AJ9" t="s">
        <v>608</v>
      </c>
      <c r="AK9" t="s">
        <v>640</v>
      </c>
      <c r="AL9" t="s">
        <v>641</v>
      </c>
      <c r="AM9" t="s">
        <v>446</v>
      </c>
      <c r="AN9" t="s">
        <v>580</v>
      </c>
      <c r="AO9" t="s">
        <v>640</v>
      </c>
      <c r="AP9" t="s">
        <v>641</v>
      </c>
      <c r="AQ9" t="s">
        <v>642</v>
      </c>
      <c r="AR9" t="s">
        <v>505</v>
      </c>
      <c r="AS9" t="s">
        <v>640</v>
      </c>
      <c r="AT9" t="s">
        <v>641</v>
      </c>
      <c r="AU9" t="s">
        <v>643</v>
      </c>
      <c r="AV9" t="s">
        <v>505</v>
      </c>
      <c r="AW9" t="s">
        <v>640</v>
      </c>
      <c r="AX9" t="s">
        <v>641</v>
      </c>
      <c r="AY9" t="s">
        <v>644</v>
      </c>
      <c r="AZ9" t="s">
        <v>505</v>
      </c>
      <c r="BA9" t="s">
        <v>645</v>
      </c>
      <c r="BB9" t="s">
        <v>646</v>
      </c>
      <c r="BC9" t="s">
        <v>186</v>
      </c>
      <c r="BD9">
        <v>1015</v>
      </c>
      <c r="BE9">
        <v>1145</v>
      </c>
      <c r="BF9">
        <v>1167</v>
      </c>
      <c r="BG9">
        <v>1289</v>
      </c>
      <c r="BH9">
        <v>1300</v>
      </c>
      <c r="BS9" t="s">
        <v>647</v>
      </c>
      <c r="BT9" t="s">
        <v>502</v>
      </c>
      <c r="BU9" t="s">
        <v>604</v>
      </c>
      <c r="BV9" t="s">
        <v>604</v>
      </c>
      <c r="BW9" t="s">
        <v>648</v>
      </c>
      <c r="BX9" t="s">
        <v>481</v>
      </c>
      <c r="BY9" t="s">
        <v>604</v>
      </c>
      <c r="BZ9" t="s">
        <v>604</v>
      </c>
      <c r="CA9" t="s">
        <v>604</v>
      </c>
      <c r="CB9" t="s">
        <v>604</v>
      </c>
      <c r="CC9" t="s">
        <v>604</v>
      </c>
      <c r="CD9" t="s">
        <v>604</v>
      </c>
      <c r="CE9" t="s">
        <v>604</v>
      </c>
      <c r="CF9" t="s">
        <v>604</v>
      </c>
      <c r="CG9" t="s">
        <v>604</v>
      </c>
      <c r="CH9" t="s">
        <v>205</v>
      </c>
      <c r="CI9" t="s">
        <v>632</v>
      </c>
      <c r="CJ9" t="s">
        <v>502</v>
      </c>
      <c r="CK9" t="s">
        <v>201</v>
      </c>
      <c r="CL9" t="s">
        <v>649</v>
      </c>
      <c r="CM9" t="s">
        <v>502</v>
      </c>
      <c r="CN9" t="s">
        <v>205</v>
      </c>
      <c r="CO9" t="s">
        <v>632</v>
      </c>
      <c r="CP9" t="s">
        <v>502</v>
      </c>
      <c r="CQ9" t="s">
        <v>281</v>
      </c>
      <c r="CR9" t="s">
        <v>266</v>
      </c>
      <c r="CS9" t="s">
        <v>608</v>
      </c>
      <c r="CT9" t="s">
        <v>177</v>
      </c>
      <c r="CU9" t="s">
        <v>631</v>
      </c>
      <c r="CV9" t="s">
        <v>608</v>
      </c>
      <c r="CW9" t="s">
        <v>210</v>
      </c>
      <c r="CX9" t="s">
        <v>631</v>
      </c>
      <c r="CY9" t="s">
        <v>608</v>
      </c>
      <c r="CZ9" t="s">
        <v>201</v>
      </c>
      <c r="DA9" t="s">
        <v>650</v>
      </c>
      <c r="DB9" t="s">
        <v>502</v>
      </c>
      <c r="DC9" t="s">
        <v>216</v>
      </c>
      <c r="DD9" t="s">
        <v>651</v>
      </c>
      <c r="DE9" t="s">
        <v>502</v>
      </c>
      <c r="DI9" t="s">
        <v>183</v>
      </c>
      <c r="DJ9" t="s">
        <v>306</v>
      </c>
      <c r="DK9" t="s">
        <v>502</v>
      </c>
      <c r="DL9" t="s">
        <v>183</v>
      </c>
      <c r="DM9" t="s">
        <v>632</v>
      </c>
      <c r="DN9" t="s">
        <v>502</v>
      </c>
      <c r="DO9" t="s">
        <v>600</v>
      </c>
      <c r="DP9" t="s">
        <v>633</v>
      </c>
      <c r="DQ9" t="s">
        <v>502</v>
      </c>
      <c r="DR9" t="s">
        <v>604</v>
      </c>
      <c r="DS9" t="s">
        <v>604</v>
      </c>
      <c r="DT9" t="s">
        <v>604</v>
      </c>
      <c r="DU9" t="s">
        <v>604</v>
      </c>
      <c r="DV9" t="s">
        <v>604</v>
      </c>
      <c r="DW9" t="s">
        <v>604</v>
      </c>
      <c r="DX9" t="s">
        <v>604</v>
      </c>
      <c r="DY9" t="s">
        <v>604</v>
      </c>
      <c r="DZ9" t="s">
        <v>604</v>
      </c>
      <c r="EA9" t="s">
        <v>604</v>
      </c>
      <c r="EB9" t="s">
        <v>604</v>
      </c>
      <c r="EC9" t="s">
        <v>604</v>
      </c>
      <c r="ED9" t="s">
        <v>174</v>
      </c>
      <c r="EE9" t="s">
        <v>637</v>
      </c>
      <c r="EF9" t="s">
        <v>608</v>
      </c>
      <c r="EG9" t="s">
        <v>604</v>
      </c>
      <c r="EH9" t="s">
        <v>604</v>
      </c>
      <c r="EI9" t="s">
        <v>604</v>
      </c>
      <c r="EJ9" t="s">
        <v>205</v>
      </c>
      <c r="EK9" t="s">
        <v>190</v>
      </c>
      <c r="EL9" t="s">
        <v>608</v>
      </c>
      <c r="EM9" t="s">
        <v>210</v>
      </c>
      <c r="EN9" t="s">
        <v>266</v>
      </c>
      <c r="EO9" t="s">
        <v>608</v>
      </c>
      <c r="EP9" t="s">
        <v>210</v>
      </c>
      <c r="EQ9" t="s">
        <v>652</v>
      </c>
      <c r="ER9" t="s">
        <v>505</v>
      </c>
      <c r="ES9" t="s">
        <v>604</v>
      </c>
      <c r="ET9" t="s">
        <v>604</v>
      </c>
      <c r="EU9" t="s">
        <v>604</v>
      </c>
      <c r="EV9" t="s">
        <v>604</v>
      </c>
      <c r="EW9" t="s">
        <v>604</v>
      </c>
      <c r="EX9" t="s">
        <v>604</v>
      </c>
      <c r="EY9">
        <v>20</v>
      </c>
      <c r="EZ9">
        <v>20</v>
      </c>
      <c r="FA9" t="s">
        <v>608</v>
      </c>
      <c r="FB9" t="s">
        <v>604</v>
      </c>
      <c r="FC9" t="s">
        <v>604</v>
      </c>
      <c r="FD9" t="s">
        <v>604</v>
      </c>
      <c r="FE9">
        <v>30</v>
      </c>
      <c r="FF9">
        <v>120</v>
      </c>
      <c r="FG9" t="s">
        <v>530</v>
      </c>
      <c r="FH9" t="s">
        <v>653</v>
      </c>
    </row>
    <row r="10" spans="1:164" x14ac:dyDescent="0.25">
      <c r="A10">
        <v>4</v>
      </c>
      <c r="B10" t="s">
        <v>164</v>
      </c>
      <c r="C10">
        <v>46</v>
      </c>
      <c r="D10">
        <v>4601</v>
      </c>
      <c r="E10">
        <v>974738627</v>
      </c>
      <c r="F10" t="s">
        <v>165</v>
      </c>
      <c r="G10" t="s">
        <v>166</v>
      </c>
      <c r="H10" t="s">
        <v>167</v>
      </c>
      <c r="I10" t="s">
        <v>654</v>
      </c>
      <c r="J10" t="s">
        <v>654</v>
      </c>
      <c r="K10" t="s">
        <v>661</v>
      </c>
      <c r="L10" t="s">
        <v>213</v>
      </c>
      <c r="M10" t="s">
        <v>604</v>
      </c>
      <c r="N10" t="s">
        <v>731</v>
      </c>
      <c r="O10" t="s">
        <v>618</v>
      </c>
      <c r="P10" t="s">
        <v>506</v>
      </c>
      <c r="Q10" t="s">
        <v>502</v>
      </c>
      <c r="R10" t="s">
        <v>529</v>
      </c>
      <c r="T10" t="s">
        <v>509</v>
      </c>
      <c r="U10" t="s">
        <v>502</v>
      </c>
      <c r="V10" t="s">
        <v>473</v>
      </c>
      <c r="X10" t="s">
        <v>503</v>
      </c>
      <c r="Y10" t="s">
        <v>502</v>
      </c>
      <c r="Z10" t="s">
        <v>512</v>
      </c>
      <c r="AB10" t="s">
        <v>430</v>
      </c>
      <c r="AC10" t="s">
        <v>481</v>
      </c>
      <c r="AD10" t="s">
        <v>489</v>
      </c>
      <c r="AF10" t="s">
        <v>175</v>
      </c>
      <c r="AG10" t="s">
        <v>655</v>
      </c>
      <c r="AH10" t="s">
        <v>529</v>
      </c>
      <c r="AJ10" t="s">
        <v>512</v>
      </c>
      <c r="AK10" t="s">
        <v>656</v>
      </c>
      <c r="AL10" t="s">
        <v>657</v>
      </c>
      <c r="AM10" t="s">
        <v>301</v>
      </c>
      <c r="AN10" t="s">
        <v>512</v>
      </c>
      <c r="AO10" t="s">
        <v>658</v>
      </c>
      <c r="AP10" t="s">
        <v>659</v>
      </c>
      <c r="AQ10" t="s">
        <v>301</v>
      </c>
      <c r="AR10" t="s">
        <v>512</v>
      </c>
      <c r="AS10" t="s">
        <v>491</v>
      </c>
      <c r="AT10" t="s">
        <v>515</v>
      </c>
      <c r="AU10" t="s">
        <v>214</v>
      </c>
      <c r="AV10" t="s">
        <v>512</v>
      </c>
      <c r="AW10" t="s">
        <v>517</v>
      </c>
      <c r="AX10" t="s">
        <v>656</v>
      </c>
      <c r="AY10" t="s">
        <v>208</v>
      </c>
      <c r="AZ10" t="s">
        <v>519</v>
      </c>
      <c r="BA10" t="s">
        <v>491</v>
      </c>
      <c r="BB10" t="s">
        <v>660</v>
      </c>
      <c r="BC10" t="s">
        <v>266</v>
      </c>
      <c r="BD10">
        <v>1662</v>
      </c>
      <c r="BE10">
        <v>1652</v>
      </c>
      <c r="BF10">
        <v>1509</v>
      </c>
      <c r="BG10">
        <v>1505</v>
      </c>
      <c r="BH10">
        <v>1527</v>
      </c>
      <c r="BY10" t="s">
        <v>216</v>
      </c>
      <c r="BZ10" t="s">
        <v>213</v>
      </c>
      <c r="CA10" t="s">
        <v>588</v>
      </c>
      <c r="CB10" t="s">
        <v>177</v>
      </c>
      <c r="CC10" t="s">
        <v>204</v>
      </c>
      <c r="CD10" t="s">
        <v>524</v>
      </c>
      <c r="CE10" t="s">
        <v>177</v>
      </c>
      <c r="CF10" t="s">
        <v>202</v>
      </c>
      <c r="CG10" t="s">
        <v>524</v>
      </c>
      <c r="CH10" t="s">
        <v>207</v>
      </c>
      <c r="CI10" t="s">
        <v>204</v>
      </c>
      <c r="CJ10" t="s">
        <v>212</v>
      </c>
      <c r="CK10" t="s">
        <v>281</v>
      </c>
      <c r="CL10" t="s">
        <v>494</v>
      </c>
      <c r="CM10" t="s">
        <v>523</v>
      </c>
      <c r="CN10" t="s">
        <v>207</v>
      </c>
      <c r="CO10" t="s">
        <v>497</v>
      </c>
      <c r="CP10" t="s">
        <v>212</v>
      </c>
      <c r="CQ10" t="s">
        <v>177</v>
      </c>
      <c r="CR10" t="s">
        <v>497</v>
      </c>
      <c r="CS10" t="s">
        <v>212</v>
      </c>
      <c r="CT10" t="s">
        <v>210</v>
      </c>
      <c r="CU10" t="s">
        <v>566</v>
      </c>
      <c r="CV10" t="s">
        <v>524</v>
      </c>
      <c r="CW10" t="s">
        <v>207</v>
      </c>
      <c r="CX10" t="s">
        <v>213</v>
      </c>
      <c r="CY10" t="s">
        <v>212</v>
      </c>
      <c r="CZ10" t="s">
        <v>174</v>
      </c>
      <c r="DA10" t="s">
        <v>208</v>
      </c>
      <c r="DB10" t="s">
        <v>212</v>
      </c>
      <c r="DC10" t="s">
        <v>215</v>
      </c>
      <c r="DD10" t="s">
        <v>204</v>
      </c>
      <c r="DE10" t="s">
        <v>212</v>
      </c>
      <c r="DF10" t="s">
        <v>177</v>
      </c>
      <c r="DG10" t="s">
        <v>486</v>
      </c>
      <c r="DH10" t="s">
        <v>524</v>
      </c>
      <c r="FH10" t="s">
        <v>661</v>
      </c>
    </row>
    <row r="11" spans="1:164" x14ac:dyDescent="0.25">
      <c r="A11">
        <v>4</v>
      </c>
      <c r="B11" t="s">
        <v>164</v>
      </c>
      <c r="C11">
        <v>46</v>
      </c>
      <c r="D11">
        <v>4601</v>
      </c>
      <c r="E11">
        <v>974737817</v>
      </c>
      <c r="F11" t="s">
        <v>165</v>
      </c>
      <c r="G11" t="s">
        <v>166</v>
      </c>
      <c r="H11" t="s">
        <v>167</v>
      </c>
      <c r="I11" t="s">
        <v>662</v>
      </c>
      <c r="J11" t="s">
        <v>662</v>
      </c>
      <c r="K11" t="s">
        <v>690</v>
      </c>
      <c r="P11" t="s">
        <v>663</v>
      </c>
      <c r="Q11" t="s">
        <v>604</v>
      </c>
      <c r="R11" t="s">
        <v>556</v>
      </c>
      <c r="T11" t="s">
        <v>664</v>
      </c>
      <c r="U11" t="s">
        <v>604</v>
      </c>
      <c r="V11" t="s">
        <v>556</v>
      </c>
      <c r="X11" t="s">
        <v>665</v>
      </c>
      <c r="Y11" t="s">
        <v>508</v>
      </c>
      <c r="Z11" t="s">
        <v>604</v>
      </c>
      <c r="AB11" t="s">
        <v>665</v>
      </c>
      <c r="AC11" t="s">
        <v>481</v>
      </c>
      <c r="AD11" t="s">
        <v>604</v>
      </c>
      <c r="AF11" t="s">
        <v>506</v>
      </c>
      <c r="AG11" t="s">
        <v>580</v>
      </c>
      <c r="AH11" t="s">
        <v>556</v>
      </c>
      <c r="AJ11" t="s">
        <v>512</v>
      </c>
      <c r="AK11" t="s">
        <v>666</v>
      </c>
      <c r="AL11" t="s">
        <v>516</v>
      </c>
      <c r="AM11" t="s">
        <v>644</v>
      </c>
      <c r="AN11" t="s">
        <v>519</v>
      </c>
      <c r="AO11" t="s">
        <v>667</v>
      </c>
      <c r="AP11" t="s">
        <v>668</v>
      </c>
      <c r="AQ11" t="s">
        <v>669</v>
      </c>
      <c r="AR11" t="s">
        <v>519</v>
      </c>
      <c r="AS11" t="s">
        <v>670</v>
      </c>
      <c r="AT11" t="s">
        <v>617</v>
      </c>
      <c r="AU11" t="s">
        <v>669</v>
      </c>
      <c r="AV11" t="s">
        <v>519</v>
      </c>
      <c r="AW11" t="s">
        <v>671</v>
      </c>
      <c r="AX11" t="s">
        <v>672</v>
      </c>
      <c r="AY11" t="s">
        <v>669</v>
      </c>
      <c r="AZ11" t="s">
        <v>512</v>
      </c>
      <c r="BA11" t="s">
        <v>616</v>
      </c>
      <c r="BB11" t="s">
        <v>673</v>
      </c>
      <c r="BC11" t="s">
        <v>669</v>
      </c>
      <c r="BD11">
        <v>1992</v>
      </c>
      <c r="BE11">
        <v>1870</v>
      </c>
      <c r="BF11">
        <v>1968</v>
      </c>
      <c r="BG11">
        <v>1998</v>
      </c>
      <c r="BH11">
        <v>1946</v>
      </c>
      <c r="BI11" t="s">
        <v>349</v>
      </c>
      <c r="BJ11" t="s">
        <v>350</v>
      </c>
      <c r="BK11" t="s">
        <v>351</v>
      </c>
      <c r="BL11" t="s">
        <v>580</v>
      </c>
      <c r="BM11" t="s">
        <v>351</v>
      </c>
      <c r="BN11" t="s">
        <v>581</v>
      </c>
      <c r="BO11" t="s">
        <v>351</v>
      </c>
      <c r="BP11" t="s">
        <v>581</v>
      </c>
      <c r="BQ11" t="s">
        <v>550</v>
      </c>
      <c r="BR11" t="s">
        <v>505</v>
      </c>
      <c r="BS11" t="s">
        <v>538</v>
      </c>
      <c r="BT11" t="s">
        <v>674</v>
      </c>
      <c r="BU11" t="s">
        <v>675</v>
      </c>
      <c r="BV11" t="s">
        <v>676</v>
      </c>
      <c r="BW11" t="s">
        <v>677</v>
      </c>
      <c r="BX11" t="s">
        <v>678</v>
      </c>
      <c r="DK11" t="s">
        <v>556</v>
      </c>
      <c r="DN11" t="s">
        <v>556</v>
      </c>
      <c r="DO11" t="s">
        <v>177</v>
      </c>
      <c r="DP11" t="s">
        <v>644</v>
      </c>
      <c r="DQ11" t="s">
        <v>679</v>
      </c>
      <c r="DR11" t="s">
        <v>210</v>
      </c>
      <c r="DS11" t="s">
        <v>558</v>
      </c>
      <c r="DT11" t="s">
        <v>680</v>
      </c>
      <c r="DU11" t="s">
        <v>210</v>
      </c>
      <c r="DV11" t="s">
        <v>669</v>
      </c>
      <c r="DW11" t="s">
        <v>681</v>
      </c>
      <c r="DX11" t="s">
        <v>216</v>
      </c>
      <c r="DY11" t="s">
        <v>558</v>
      </c>
      <c r="DZ11" t="s">
        <v>681</v>
      </c>
      <c r="EA11" t="s">
        <v>281</v>
      </c>
      <c r="EB11" t="s">
        <v>566</v>
      </c>
      <c r="EC11" t="s">
        <v>682</v>
      </c>
      <c r="ED11" t="s">
        <v>177</v>
      </c>
      <c r="EE11" t="s">
        <v>558</v>
      </c>
      <c r="EF11" t="s">
        <v>683</v>
      </c>
      <c r="EG11" t="s">
        <v>216</v>
      </c>
      <c r="EH11" t="s">
        <v>301</v>
      </c>
      <c r="EI11" t="s">
        <v>684</v>
      </c>
      <c r="EJ11" t="s">
        <v>174</v>
      </c>
      <c r="EK11" t="s">
        <v>558</v>
      </c>
      <c r="EL11" t="s">
        <v>639</v>
      </c>
      <c r="EM11" t="s">
        <v>177</v>
      </c>
      <c r="EN11" t="s">
        <v>558</v>
      </c>
      <c r="EO11" t="s">
        <v>685</v>
      </c>
      <c r="EP11" t="s">
        <v>177</v>
      </c>
      <c r="EQ11" t="s">
        <v>566</v>
      </c>
      <c r="ER11" t="s">
        <v>686</v>
      </c>
      <c r="ES11" t="s">
        <v>562</v>
      </c>
      <c r="ET11" t="s">
        <v>306</v>
      </c>
      <c r="EU11" t="s">
        <v>687</v>
      </c>
      <c r="EV11" t="s">
        <v>211</v>
      </c>
      <c r="EW11" t="s">
        <v>306</v>
      </c>
      <c r="EX11" t="s">
        <v>402</v>
      </c>
      <c r="EY11">
        <v>110</v>
      </c>
      <c r="EZ11">
        <v>70</v>
      </c>
      <c r="FA11" t="s">
        <v>688</v>
      </c>
      <c r="FB11" t="s">
        <v>468</v>
      </c>
      <c r="FC11" t="s">
        <v>306</v>
      </c>
      <c r="FD11" t="s">
        <v>689</v>
      </c>
      <c r="FE11">
        <v>140</v>
      </c>
      <c r="FF11">
        <v>85</v>
      </c>
      <c r="FG11" t="s">
        <v>676</v>
      </c>
      <c r="FH11" t="s">
        <v>690</v>
      </c>
    </row>
    <row r="12" spans="1:164" x14ac:dyDescent="0.25">
      <c r="A12">
        <v>4</v>
      </c>
      <c r="B12" t="s">
        <v>164</v>
      </c>
      <c r="C12">
        <v>46</v>
      </c>
      <c r="D12">
        <v>4601</v>
      </c>
      <c r="E12">
        <v>974738287</v>
      </c>
      <c r="F12" t="s">
        <v>165</v>
      </c>
      <c r="G12" t="s">
        <v>166</v>
      </c>
      <c r="H12" t="s">
        <v>167</v>
      </c>
      <c r="I12" t="s">
        <v>693</v>
      </c>
      <c r="J12" t="s">
        <v>693</v>
      </c>
      <c r="K12" t="s">
        <v>704</v>
      </c>
      <c r="L12" t="s">
        <v>998</v>
      </c>
      <c r="M12" t="s">
        <v>998</v>
      </c>
      <c r="N12" t="s">
        <v>731</v>
      </c>
      <c r="O12" t="s">
        <v>604</v>
      </c>
      <c r="P12" t="s">
        <v>694</v>
      </c>
      <c r="Q12" t="s">
        <v>508</v>
      </c>
      <c r="R12" t="s">
        <v>481</v>
      </c>
      <c r="T12" t="s">
        <v>695</v>
      </c>
      <c r="U12" t="s">
        <v>604</v>
      </c>
      <c r="V12" t="s">
        <v>530</v>
      </c>
      <c r="X12" t="s">
        <v>324</v>
      </c>
      <c r="Y12" t="s">
        <v>608</v>
      </c>
      <c r="Z12" t="s">
        <v>504</v>
      </c>
      <c r="AB12" t="s">
        <v>696</v>
      </c>
      <c r="AC12" t="s">
        <v>505</v>
      </c>
      <c r="AD12" t="s">
        <v>504</v>
      </c>
      <c r="AF12" t="s">
        <v>697</v>
      </c>
      <c r="AG12" t="s">
        <v>504</v>
      </c>
      <c r="AH12" t="s">
        <v>505</v>
      </c>
      <c r="AJ12" t="s">
        <v>512</v>
      </c>
      <c r="AK12" t="s">
        <v>698</v>
      </c>
      <c r="AL12" t="s">
        <v>699</v>
      </c>
      <c r="AM12" t="s">
        <v>213</v>
      </c>
      <c r="AN12" t="s">
        <v>182</v>
      </c>
      <c r="AO12" t="s">
        <v>700</v>
      </c>
      <c r="AP12" t="s">
        <v>515</v>
      </c>
      <c r="AQ12" t="s">
        <v>494</v>
      </c>
      <c r="AR12" t="s">
        <v>179</v>
      </c>
      <c r="AS12" t="s">
        <v>701</v>
      </c>
      <c r="AT12" t="s">
        <v>702</v>
      </c>
      <c r="AU12" t="s">
        <v>560</v>
      </c>
      <c r="AV12" t="s">
        <v>489</v>
      </c>
      <c r="AW12" t="s">
        <v>196</v>
      </c>
      <c r="AX12" t="s">
        <v>189</v>
      </c>
      <c r="AY12" t="s">
        <v>204</v>
      </c>
      <c r="AZ12" t="s">
        <v>179</v>
      </c>
      <c r="BA12" t="s">
        <v>703</v>
      </c>
      <c r="BB12" t="s">
        <v>485</v>
      </c>
      <c r="BC12" t="s">
        <v>494</v>
      </c>
      <c r="BD12">
        <v>1664</v>
      </c>
      <c r="BE12">
        <v>1676</v>
      </c>
      <c r="BF12">
        <v>1631</v>
      </c>
      <c r="BG12">
        <v>1595</v>
      </c>
      <c r="BH12">
        <v>1635</v>
      </c>
      <c r="BY12" t="s">
        <v>174</v>
      </c>
      <c r="BZ12" t="s">
        <v>214</v>
      </c>
      <c r="CA12" t="s">
        <v>281</v>
      </c>
      <c r="CB12" t="s">
        <v>496</v>
      </c>
      <c r="CC12" t="s">
        <v>213</v>
      </c>
      <c r="CD12" t="s">
        <v>281</v>
      </c>
      <c r="CE12" t="s">
        <v>183</v>
      </c>
      <c r="CF12" t="s">
        <v>494</v>
      </c>
      <c r="CG12" t="s">
        <v>174</v>
      </c>
      <c r="CH12" t="s">
        <v>496</v>
      </c>
      <c r="CI12" t="s">
        <v>213</v>
      </c>
      <c r="CJ12" t="s">
        <v>281</v>
      </c>
      <c r="CK12" t="s">
        <v>496</v>
      </c>
      <c r="CL12" t="s">
        <v>497</v>
      </c>
      <c r="CM12" t="s">
        <v>281</v>
      </c>
      <c r="CN12" t="s">
        <v>496</v>
      </c>
      <c r="CO12" t="s">
        <v>213</v>
      </c>
      <c r="CP12" t="s">
        <v>281</v>
      </c>
      <c r="CQ12" t="s">
        <v>281</v>
      </c>
      <c r="CR12" t="s">
        <v>214</v>
      </c>
      <c r="CS12" t="s">
        <v>281</v>
      </c>
      <c r="CT12" t="s">
        <v>201</v>
      </c>
      <c r="CU12" t="s">
        <v>497</v>
      </c>
      <c r="CV12" t="s">
        <v>281</v>
      </c>
      <c r="CW12" t="s">
        <v>281</v>
      </c>
      <c r="CX12" t="s">
        <v>497</v>
      </c>
      <c r="CY12" t="s">
        <v>207</v>
      </c>
      <c r="CZ12" t="s">
        <v>216</v>
      </c>
      <c r="DA12" t="s">
        <v>204</v>
      </c>
      <c r="DB12" t="s">
        <v>601</v>
      </c>
      <c r="DC12" t="s">
        <v>281</v>
      </c>
      <c r="DD12" t="s">
        <v>495</v>
      </c>
      <c r="DE12" t="s">
        <v>601</v>
      </c>
      <c r="DF12" t="s">
        <v>205</v>
      </c>
      <c r="DG12" t="s">
        <v>644</v>
      </c>
      <c r="DH12" t="s">
        <v>582</v>
      </c>
      <c r="FH12" t="s">
        <v>704</v>
      </c>
    </row>
    <row r="13" spans="1:164" x14ac:dyDescent="0.25">
      <c r="A13">
        <v>4</v>
      </c>
      <c r="B13" t="s">
        <v>164</v>
      </c>
      <c r="C13">
        <v>46</v>
      </c>
      <c r="D13">
        <v>4601</v>
      </c>
      <c r="E13">
        <v>980155307</v>
      </c>
      <c r="F13" t="s">
        <v>165</v>
      </c>
      <c r="G13" t="s">
        <v>166</v>
      </c>
      <c r="H13" t="s">
        <v>167</v>
      </c>
      <c r="I13" t="s">
        <v>705</v>
      </c>
      <c r="J13" t="s">
        <v>705</v>
      </c>
      <c r="K13" t="s">
        <v>733</v>
      </c>
      <c r="P13" t="s">
        <v>706</v>
      </c>
      <c r="Q13" t="s">
        <v>533</v>
      </c>
      <c r="R13" t="s">
        <v>508</v>
      </c>
      <c r="T13" t="s">
        <v>707</v>
      </c>
      <c r="U13" t="s">
        <v>533</v>
      </c>
      <c r="V13" t="s">
        <v>604</v>
      </c>
      <c r="X13" t="s">
        <v>708</v>
      </c>
      <c r="Y13" t="s">
        <v>179</v>
      </c>
      <c r="Z13" t="s">
        <v>604</v>
      </c>
      <c r="AB13" t="s">
        <v>709</v>
      </c>
      <c r="AC13" t="s">
        <v>519</v>
      </c>
      <c r="AD13" t="s">
        <v>604</v>
      </c>
      <c r="AF13" t="s">
        <v>710</v>
      </c>
      <c r="AG13" t="s">
        <v>173</v>
      </c>
      <c r="AH13" t="s">
        <v>604</v>
      </c>
      <c r="AJ13" t="s">
        <v>529</v>
      </c>
      <c r="AK13" t="s">
        <v>516</v>
      </c>
      <c r="AL13" t="s">
        <v>711</v>
      </c>
      <c r="AM13" t="s">
        <v>712</v>
      </c>
      <c r="AN13" t="s">
        <v>474</v>
      </c>
      <c r="AO13" t="s">
        <v>713</v>
      </c>
      <c r="AP13" t="s">
        <v>714</v>
      </c>
      <c r="AQ13" t="s">
        <v>712</v>
      </c>
      <c r="AR13" t="s">
        <v>529</v>
      </c>
      <c r="AS13" t="s">
        <v>715</v>
      </c>
      <c r="AT13" t="s">
        <v>716</v>
      </c>
      <c r="AU13" t="s">
        <v>712</v>
      </c>
      <c r="AV13" t="s">
        <v>173</v>
      </c>
      <c r="AW13" t="s">
        <v>717</v>
      </c>
      <c r="AX13" t="s">
        <v>718</v>
      </c>
      <c r="AY13" t="s">
        <v>560</v>
      </c>
      <c r="AZ13" t="s">
        <v>473</v>
      </c>
      <c r="BA13" t="s">
        <v>719</v>
      </c>
      <c r="BB13" t="s">
        <v>720</v>
      </c>
      <c r="BC13" t="s">
        <v>560</v>
      </c>
      <c r="BD13">
        <v>1917</v>
      </c>
      <c r="BE13">
        <v>1996</v>
      </c>
      <c r="BF13">
        <v>1995</v>
      </c>
      <c r="BG13">
        <v>1985</v>
      </c>
      <c r="BH13">
        <v>2022</v>
      </c>
      <c r="BI13" t="s">
        <v>349</v>
      </c>
      <c r="BJ13" t="s">
        <v>350</v>
      </c>
      <c r="BK13" t="s">
        <v>721</v>
      </c>
      <c r="BL13" t="s">
        <v>530</v>
      </c>
      <c r="BM13" t="s">
        <v>198</v>
      </c>
      <c r="BN13" t="s">
        <v>504</v>
      </c>
      <c r="BO13" t="s">
        <v>550</v>
      </c>
      <c r="BP13" t="s">
        <v>580</v>
      </c>
      <c r="BQ13" t="s">
        <v>598</v>
      </c>
      <c r="BR13" t="s">
        <v>530</v>
      </c>
      <c r="BS13" t="s">
        <v>553</v>
      </c>
      <c r="BT13" t="s">
        <v>722</v>
      </c>
      <c r="BU13" t="s">
        <v>723</v>
      </c>
      <c r="BV13" t="s">
        <v>724</v>
      </c>
      <c r="BW13" t="s">
        <v>725</v>
      </c>
      <c r="BX13" t="s">
        <v>726</v>
      </c>
      <c r="DI13" t="s">
        <v>207</v>
      </c>
      <c r="DJ13" t="s">
        <v>204</v>
      </c>
      <c r="DK13" t="s">
        <v>525</v>
      </c>
      <c r="DN13" t="s">
        <v>556</v>
      </c>
      <c r="DQ13" t="s">
        <v>556</v>
      </c>
      <c r="DR13" t="s">
        <v>217</v>
      </c>
      <c r="DS13" t="s">
        <v>644</v>
      </c>
      <c r="DT13" t="s">
        <v>215</v>
      </c>
      <c r="DU13" t="s">
        <v>217</v>
      </c>
      <c r="DV13" t="s">
        <v>495</v>
      </c>
      <c r="DW13" t="s">
        <v>210</v>
      </c>
      <c r="DX13" t="s">
        <v>215</v>
      </c>
      <c r="DY13" t="s">
        <v>557</v>
      </c>
      <c r="DZ13" t="s">
        <v>215</v>
      </c>
      <c r="EA13" t="s">
        <v>207</v>
      </c>
      <c r="EB13" t="s">
        <v>644</v>
      </c>
      <c r="EC13" t="s">
        <v>727</v>
      </c>
      <c r="ED13" t="s">
        <v>216</v>
      </c>
      <c r="EE13" t="s">
        <v>213</v>
      </c>
      <c r="EF13" t="s">
        <v>728</v>
      </c>
      <c r="EG13" t="s">
        <v>209</v>
      </c>
      <c r="EH13" t="s">
        <v>644</v>
      </c>
      <c r="EI13" t="s">
        <v>729</v>
      </c>
      <c r="EJ13" t="s">
        <v>207</v>
      </c>
      <c r="EK13" t="s">
        <v>644</v>
      </c>
      <c r="EL13" t="s">
        <v>722</v>
      </c>
      <c r="EM13" t="s">
        <v>210</v>
      </c>
      <c r="EN13" t="s">
        <v>669</v>
      </c>
      <c r="EO13" t="s">
        <v>722</v>
      </c>
      <c r="EP13" t="s">
        <v>216</v>
      </c>
      <c r="EQ13" t="s">
        <v>495</v>
      </c>
      <c r="ER13" t="s">
        <v>730</v>
      </c>
      <c r="ES13" t="s">
        <v>731</v>
      </c>
      <c r="ET13" t="s">
        <v>211</v>
      </c>
      <c r="EU13" t="s">
        <v>732</v>
      </c>
      <c r="EV13" t="s">
        <v>301</v>
      </c>
      <c r="EW13" t="s">
        <v>389</v>
      </c>
      <c r="EX13" t="s">
        <v>678</v>
      </c>
      <c r="EY13">
        <v>90</v>
      </c>
      <c r="EZ13">
        <v>80</v>
      </c>
      <c r="FA13" t="s">
        <v>732</v>
      </c>
      <c r="FB13" t="s">
        <v>605</v>
      </c>
      <c r="FC13" t="s">
        <v>305</v>
      </c>
      <c r="FD13" t="s">
        <v>679</v>
      </c>
      <c r="FE13">
        <v>130</v>
      </c>
      <c r="FF13">
        <v>160</v>
      </c>
      <c r="FG13" t="s">
        <v>729</v>
      </c>
      <c r="FH13" t="s">
        <v>733</v>
      </c>
    </row>
    <row r="14" spans="1:164" x14ac:dyDescent="0.25">
      <c r="A14">
        <v>4</v>
      </c>
      <c r="B14" t="s">
        <v>164</v>
      </c>
      <c r="C14">
        <v>46</v>
      </c>
      <c r="D14">
        <v>4601</v>
      </c>
      <c r="E14">
        <v>974737957</v>
      </c>
      <c r="F14" t="s">
        <v>165</v>
      </c>
      <c r="G14" t="s">
        <v>166</v>
      </c>
      <c r="H14" t="s">
        <v>167</v>
      </c>
      <c r="I14" t="s">
        <v>735</v>
      </c>
      <c r="J14" t="s">
        <v>735</v>
      </c>
      <c r="K14" t="s">
        <v>747</v>
      </c>
      <c r="L14" t="s">
        <v>604</v>
      </c>
      <c r="M14" t="s">
        <v>604</v>
      </c>
      <c r="N14" t="s">
        <v>731</v>
      </c>
      <c r="O14" t="s">
        <v>604</v>
      </c>
      <c r="P14" t="s">
        <v>736</v>
      </c>
      <c r="Q14" t="s">
        <v>604</v>
      </c>
      <c r="R14" t="s">
        <v>604</v>
      </c>
      <c r="T14" t="s">
        <v>736</v>
      </c>
      <c r="U14" t="s">
        <v>604</v>
      </c>
      <c r="V14" t="s">
        <v>655</v>
      </c>
      <c r="X14" t="s">
        <v>737</v>
      </c>
      <c r="Y14" t="s">
        <v>604</v>
      </c>
      <c r="Z14" t="s">
        <v>508</v>
      </c>
      <c r="AB14" t="s">
        <v>738</v>
      </c>
      <c r="AC14" t="s">
        <v>604</v>
      </c>
      <c r="AD14" t="s">
        <v>530</v>
      </c>
      <c r="AF14" t="s">
        <v>739</v>
      </c>
      <c r="AG14" t="s">
        <v>655</v>
      </c>
      <c r="AH14" t="s">
        <v>502</v>
      </c>
      <c r="AJ14" t="s">
        <v>580</v>
      </c>
      <c r="AK14" t="s">
        <v>740</v>
      </c>
      <c r="AL14" t="s">
        <v>574</v>
      </c>
      <c r="AM14" t="s">
        <v>669</v>
      </c>
      <c r="AN14" t="s">
        <v>480</v>
      </c>
      <c r="AO14" t="s">
        <v>741</v>
      </c>
      <c r="AP14" t="s">
        <v>740</v>
      </c>
      <c r="AQ14" t="s">
        <v>560</v>
      </c>
      <c r="AR14" t="s">
        <v>476</v>
      </c>
      <c r="AS14" t="s">
        <v>716</v>
      </c>
      <c r="AT14" t="s">
        <v>640</v>
      </c>
      <c r="AU14" t="s">
        <v>643</v>
      </c>
      <c r="AV14" t="s">
        <v>480</v>
      </c>
      <c r="AW14" t="s">
        <v>742</v>
      </c>
      <c r="AX14" t="s">
        <v>743</v>
      </c>
      <c r="AY14" t="s">
        <v>606</v>
      </c>
      <c r="AZ14" t="s">
        <v>480</v>
      </c>
      <c r="BA14" t="s">
        <v>744</v>
      </c>
      <c r="BB14" t="s">
        <v>745</v>
      </c>
      <c r="BC14" t="s">
        <v>746</v>
      </c>
      <c r="BD14">
        <v>1568</v>
      </c>
      <c r="BE14">
        <v>1385</v>
      </c>
      <c r="BF14">
        <v>1395</v>
      </c>
      <c r="BG14">
        <v>1451</v>
      </c>
      <c r="BH14">
        <v>1431</v>
      </c>
      <c r="BY14" t="s">
        <v>281</v>
      </c>
      <c r="BZ14" t="s">
        <v>198</v>
      </c>
      <c r="CA14" t="s">
        <v>529</v>
      </c>
      <c r="CB14" t="s">
        <v>174</v>
      </c>
      <c r="CC14" t="s">
        <v>263</v>
      </c>
      <c r="CD14" t="s">
        <v>529</v>
      </c>
      <c r="CE14" t="s">
        <v>174</v>
      </c>
      <c r="CF14" t="s">
        <v>630</v>
      </c>
      <c r="CG14" t="s">
        <v>473</v>
      </c>
      <c r="CH14" t="s">
        <v>201</v>
      </c>
      <c r="CI14" t="s">
        <v>630</v>
      </c>
      <c r="CJ14" t="s">
        <v>529</v>
      </c>
      <c r="CK14" t="s">
        <v>201</v>
      </c>
      <c r="CL14" t="s">
        <v>206</v>
      </c>
      <c r="CM14" t="s">
        <v>529</v>
      </c>
      <c r="CN14" t="s">
        <v>201</v>
      </c>
      <c r="CO14" t="s">
        <v>721</v>
      </c>
      <c r="CP14" t="s">
        <v>529</v>
      </c>
      <c r="CQ14" t="s">
        <v>726</v>
      </c>
      <c r="CR14" t="s">
        <v>629</v>
      </c>
      <c r="CS14" t="s">
        <v>173</v>
      </c>
      <c r="CT14" t="s">
        <v>205</v>
      </c>
      <c r="CU14" t="s">
        <v>630</v>
      </c>
      <c r="CV14" t="s">
        <v>173</v>
      </c>
      <c r="CW14" t="s">
        <v>207</v>
      </c>
      <c r="CX14" t="s">
        <v>630</v>
      </c>
      <c r="CY14" t="s">
        <v>173</v>
      </c>
      <c r="CZ14" t="s">
        <v>201</v>
      </c>
      <c r="DA14" t="s">
        <v>206</v>
      </c>
      <c r="DB14" t="s">
        <v>612</v>
      </c>
      <c r="DC14" t="s">
        <v>216</v>
      </c>
      <c r="DD14" t="s">
        <v>630</v>
      </c>
      <c r="DE14" t="s">
        <v>176</v>
      </c>
      <c r="DF14" t="s">
        <v>205</v>
      </c>
      <c r="DG14" t="s">
        <v>522</v>
      </c>
      <c r="DH14" t="s">
        <v>176</v>
      </c>
      <c r="FH14" t="s">
        <v>747</v>
      </c>
    </row>
    <row r="15" spans="1:164" x14ac:dyDescent="0.25">
      <c r="A15">
        <v>4</v>
      </c>
      <c r="B15" t="s">
        <v>164</v>
      </c>
      <c r="C15">
        <v>46</v>
      </c>
      <c r="D15">
        <v>4601</v>
      </c>
      <c r="E15">
        <v>974738392</v>
      </c>
      <c r="F15" t="s">
        <v>165</v>
      </c>
      <c r="G15" t="s">
        <v>166</v>
      </c>
      <c r="H15" t="s">
        <v>167</v>
      </c>
      <c r="I15" t="s">
        <v>748</v>
      </c>
      <c r="J15" t="s">
        <v>748</v>
      </c>
      <c r="K15" t="s">
        <v>764</v>
      </c>
      <c r="L15" t="s">
        <v>658</v>
      </c>
      <c r="M15" t="s">
        <v>622</v>
      </c>
      <c r="N15" t="s">
        <v>1343</v>
      </c>
      <c r="O15" t="s">
        <v>950</v>
      </c>
      <c r="P15" t="s">
        <v>749</v>
      </c>
      <c r="Q15" t="s">
        <v>481</v>
      </c>
      <c r="R15" t="s">
        <v>689</v>
      </c>
      <c r="T15" t="s">
        <v>750</v>
      </c>
      <c r="U15" t="s">
        <v>481</v>
      </c>
      <c r="V15" t="s">
        <v>751</v>
      </c>
      <c r="X15" t="s">
        <v>752</v>
      </c>
      <c r="Y15" t="s">
        <v>481</v>
      </c>
      <c r="Z15" t="s">
        <v>685</v>
      </c>
      <c r="AB15" t="s">
        <v>753</v>
      </c>
      <c r="AC15" t="s">
        <v>580</v>
      </c>
      <c r="AD15" t="s">
        <v>754</v>
      </c>
      <c r="AF15" t="s">
        <v>755</v>
      </c>
      <c r="AG15" t="s">
        <v>473</v>
      </c>
      <c r="AH15" t="s">
        <v>732</v>
      </c>
      <c r="AJ15" t="s">
        <v>191</v>
      </c>
      <c r="AK15" t="s">
        <v>756</v>
      </c>
      <c r="AL15" t="s">
        <v>757</v>
      </c>
      <c r="AM15" t="s">
        <v>629</v>
      </c>
      <c r="AN15" t="s">
        <v>171</v>
      </c>
      <c r="AO15" t="s">
        <v>594</v>
      </c>
      <c r="AP15" t="s">
        <v>758</v>
      </c>
      <c r="AQ15" t="s">
        <v>550</v>
      </c>
      <c r="AR15" t="s">
        <v>203</v>
      </c>
      <c r="AS15" t="s">
        <v>759</v>
      </c>
      <c r="AT15" t="s">
        <v>487</v>
      </c>
      <c r="AU15" t="s">
        <v>721</v>
      </c>
      <c r="AV15" t="s">
        <v>595</v>
      </c>
      <c r="AW15" t="s">
        <v>760</v>
      </c>
      <c r="AX15" t="s">
        <v>761</v>
      </c>
      <c r="AY15" t="s">
        <v>550</v>
      </c>
      <c r="AZ15" t="s">
        <v>595</v>
      </c>
      <c r="BA15" t="s">
        <v>762</v>
      </c>
      <c r="BB15" t="s">
        <v>763</v>
      </c>
      <c r="BC15" t="s">
        <v>650</v>
      </c>
      <c r="BD15">
        <v>1529</v>
      </c>
      <c r="BE15">
        <v>1480</v>
      </c>
      <c r="BF15">
        <v>1415</v>
      </c>
      <c r="BG15">
        <v>1524</v>
      </c>
      <c r="BH15">
        <v>1571</v>
      </c>
      <c r="BY15" t="s">
        <v>174</v>
      </c>
      <c r="BZ15" t="s">
        <v>486</v>
      </c>
      <c r="CA15" t="s">
        <v>171</v>
      </c>
      <c r="CB15" t="s">
        <v>177</v>
      </c>
      <c r="CC15" t="s">
        <v>629</v>
      </c>
      <c r="CD15" t="s">
        <v>171</v>
      </c>
      <c r="CE15" t="s">
        <v>207</v>
      </c>
      <c r="CF15" t="s">
        <v>202</v>
      </c>
      <c r="CG15" t="s">
        <v>171</v>
      </c>
      <c r="CH15" t="s">
        <v>207</v>
      </c>
      <c r="CI15" t="s">
        <v>557</v>
      </c>
      <c r="CJ15" t="s">
        <v>210</v>
      </c>
      <c r="CK15" t="s">
        <v>210</v>
      </c>
      <c r="CL15" t="s">
        <v>202</v>
      </c>
      <c r="CM15" t="s">
        <v>215</v>
      </c>
      <c r="CN15" t="s">
        <v>215</v>
      </c>
      <c r="CO15" t="s">
        <v>206</v>
      </c>
      <c r="CP15" t="s">
        <v>215</v>
      </c>
      <c r="CQ15" t="s">
        <v>177</v>
      </c>
      <c r="CR15" t="s">
        <v>301</v>
      </c>
      <c r="CS15" t="s">
        <v>216</v>
      </c>
      <c r="CT15" t="s">
        <v>216</v>
      </c>
      <c r="CU15" t="s">
        <v>557</v>
      </c>
      <c r="CV15" t="s">
        <v>177</v>
      </c>
      <c r="CW15" t="s">
        <v>207</v>
      </c>
      <c r="CX15" t="s">
        <v>486</v>
      </c>
      <c r="CY15" t="s">
        <v>177</v>
      </c>
      <c r="CZ15" t="s">
        <v>281</v>
      </c>
      <c r="DA15" t="s">
        <v>494</v>
      </c>
      <c r="DB15" t="s">
        <v>582</v>
      </c>
      <c r="DC15" t="s">
        <v>210</v>
      </c>
      <c r="DD15" t="s">
        <v>497</v>
      </c>
      <c r="DE15" t="s">
        <v>600</v>
      </c>
      <c r="DF15" t="s">
        <v>177</v>
      </c>
      <c r="DG15" t="s">
        <v>211</v>
      </c>
      <c r="DH15" t="s">
        <v>582</v>
      </c>
      <c r="FH15" t="s">
        <v>764</v>
      </c>
    </row>
    <row r="16" spans="1:164" x14ac:dyDescent="0.25">
      <c r="A16">
        <v>4</v>
      </c>
      <c r="B16" t="s">
        <v>164</v>
      </c>
      <c r="C16">
        <v>46</v>
      </c>
      <c r="D16">
        <v>4601</v>
      </c>
      <c r="E16">
        <v>974738554</v>
      </c>
      <c r="F16" t="s">
        <v>165</v>
      </c>
      <c r="G16" t="s">
        <v>166</v>
      </c>
      <c r="H16" t="s">
        <v>167</v>
      </c>
      <c r="I16" t="s">
        <v>765</v>
      </c>
      <c r="J16" t="s">
        <v>765</v>
      </c>
      <c r="K16" t="s">
        <v>777</v>
      </c>
      <c r="L16" t="s">
        <v>829</v>
      </c>
      <c r="M16" t="s">
        <v>604</v>
      </c>
      <c r="N16" t="s">
        <v>731</v>
      </c>
      <c r="O16" t="s">
        <v>731</v>
      </c>
      <c r="P16" t="s">
        <v>766</v>
      </c>
      <c r="Q16" t="s">
        <v>480</v>
      </c>
      <c r="R16" t="s">
        <v>476</v>
      </c>
      <c r="T16" t="s">
        <v>767</v>
      </c>
      <c r="U16" t="s">
        <v>580</v>
      </c>
      <c r="V16" t="s">
        <v>502</v>
      </c>
      <c r="X16" t="s">
        <v>768</v>
      </c>
      <c r="Y16" t="s">
        <v>581</v>
      </c>
      <c r="Z16" t="s">
        <v>580</v>
      </c>
      <c r="AB16" t="s">
        <v>769</v>
      </c>
      <c r="AC16" t="s">
        <v>505</v>
      </c>
      <c r="AD16" t="s">
        <v>170</v>
      </c>
      <c r="AF16" t="s">
        <v>707</v>
      </c>
      <c r="AG16" t="s">
        <v>608</v>
      </c>
      <c r="AH16" t="s">
        <v>474</v>
      </c>
      <c r="AJ16" t="s">
        <v>476</v>
      </c>
      <c r="AK16" t="s">
        <v>770</v>
      </c>
      <c r="AL16" t="s">
        <v>771</v>
      </c>
      <c r="AM16" t="s">
        <v>206</v>
      </c>
      <c r="AN16" t="s">
        <v>476</v>
      </c>
      <c r="AO16" t="s">
        <v>772</v>
      </c>
      <c r="AP16" t="s">
        <v>773</v>
      </c>
      <c r="AQ16" t="s">
        <v>213</v>
      </c>
      <c r="AR16" t="s">
        <v>501</v>
      </c>
      <c r="AS16" t="s">
        <v>773</v>
      </c>
      <c r="AT16" t="s">
        <v>720</v>
      </c>
      <c r="AU16" t="s">
        <v>190</v>
      </c>
      <c r="AV16" t="s">
        <v>476</v>
      </c>
      <c r="AW16" t="s">
        <v>773</v>
      </c>
      <c r="AX16" t="s">
        <v>774</v>
      </c>
      <c r="AY16" t="s">
        <v>644</v>
      </c>
      <c r="AZ16" t="s">
        <v>501</v>
      </c>
      <c r="BA16" t="s">
        <v>775</v>
      </c>
      <c r="BB16" t="s">
        <v>776</v>
      </c>
      <c r="BC16" t="s">
        <v>562</v>
      </c>
      <c r="BD16">
        <v>1621</v>
      </c>
      <c r="BE16">
        <v>1687</v>
      </c>
      <c r="BF16">
        <v>1684</v>
      </c>
      <c r="BG16">
        <v>1676</v>
      </c>
      <c r="BH16">
        <v>1605</v>
      </c>
      <c r="CA16" t="s">
        <v>556</v>
      </c>
      <c r="CB16" t="s">
        <v>174</v>
      </c>
      <c r="CC16" t="s">
        <v>211</v>
      </c>
      <c r="CD16" t="s">
        <v>519</v>
      </c>
      <c r="CG16" t="s">
        <v>556</v>
      </c>
      <c r="CH16" t="s">
        <v>207</v>
      </c>
      <c r="CI16" t="s">
        <v>486</v>
      </c>
      <c r="CJ16" t="s">
        <v>171</v>
      </c>
      <c r="CK16" t="s">
        <v>207</v>
      </c>
      <c r="CL16" t="s">
        <v>204</v>
      </c>
      <c r="CM16" t="s">
        <v>595</v>
      </c>
      <c r="CN16" t="s">
        <v>281</v>
      </c>
      <c r="CO16" t="s">
        <v>557</v>
      </c>
      <c r="CP16" t="s">
        <v>593</v>
      </c>
      <c r="CQ16" t="s">
        <v>174</v>
      </c>
      <c r="CR16" t="s">
        <v>351</v>
      </c>
      <c r="CS16" t="s">
        <v>533</v>
      </c>
      <c r="CT16" t="s">
        <v>174</v>
      </c>
      <c r="CU16" t="s">
        <v>266</v>
      </c>
      <c r="CV16" t="s">
        <v>519</v>
      </c>
      <c r="CW16" t="s">
        <v>216</v>
      </c>
      <c r="CX16" t="s">
        <v>630</v>
      </c>
      <c r="CY16" t="s">
        <v>519</v>
      </c>
      <c r="CZ16" t="s">
        <v>205</v>
      </c>
      <c r="DA16" t="s">
        <v>630</v>
      </c>
      <c r="DB16" t="s">
        <v>182</v>
      </c>
      <c r="DC16" t="s">
        <v>205</v>
      </c>
      <c r="DD16" t="s">
        <v>721</v>
      </c>
      <c r="DE16" t="s">
        <v>533</v>
      </c>
      <c r="DF16" t="s">
        <v>205</v>
      </c>
      <c r="DG16" t="s">
        <v>721</v>
      </c>
      <c r="DH16" t="s">
        <v>512</v>
      </c>
      <c r="FH16" t="s">
        <v>777</v>
      </c>
    </row>
    <row r="17" spans="1:164" x14ac:dyDescent="0.25">
      <c r="A17">
        <v>4</v>
      </c>
      <c r="B17" t="s">
        <v>164</v>
      </c>
      <c r="C17">
        <v>46</v>
      </c>
      <c r="D17">
        <v>4601</v>
      </c>
      <c r="E17">
        <v>976654773</v>
      </c>
      <c r="F17" t="s">
        <v>165</v>
      </c>
      <c r="G17" t="s">
        <v>166</v>
      </c>
      <c r="H17" t="s">
        <v>167</v>
      </c>
      <c r="I17" t="s">
        <v>778</v>
      </c>
      <c r="J17" t="s">
        <v>778</v>
      </c>
      <c r="K17" t="s">
        <v>788</v>
      </c>
      <c r="L17" t="s">
        <v>305</v>
      </c>
      <c r="M17" t="s">
        <v>389</v>
      </c>
      <c r="N17" t="s">
        <v>604</v>
      </c>
      <c r="O17" t="s">
        <v>194</v>
      </c>
      <c r="P17" t="s">
        <v>779</v>
      </c>
      <c r="Q17" t="s">
        <v>655</v>
      </c>
      <c r="R17" t="s">
        <v>170</v>
      </c>
      <c r="T17" t="s">
        <v>780</v>
      </c>
      <c r="U17" t="s">
        <v>504</v>
      </c>
      <c r="V17" t="s">
        <v>581</v>
      </c>
      <c r="X17" t="s">
        <v>587</v>
      </c>
      <c r="Y17" t="s">
        <v>580</v>
      </c>
      <c r="Z17" t="s">
        <v>505</v>
      </c>
      <c r="AB17" t="s">
        <v>781</v>
      </c>
      <c r="AC17" t="s">
        <v>481</v>
      </c>
      <c r="AD17" t="s">
        <v>505</v>
      </c>
      <c r="AF17" t="s">
        <v>585</v>
      </c>
      <c r="AG17" t="s">
        <v>608</v>
      </c>
      <c r="AH17" t="s">
        <v>604</v>
      </c>
      <c r="AJ17" t="s">
        <v>179</v>
      </c>
      <c r="AK17" t="s">
        <v>701</v>
      </c>
      <c r="AL17" t="s">
        <v>782</v>
      </c>
      <c r="AM17" t="s">
        <v>301</v>
      </c>
      <c r="AN17" t="s">
        <v>195</v>
      </c>
      <c r="AO17" t="s">
        <v>783</v>
      </c>
      <c r="AP17" t="s">
        <v>491</v>
      </c>
      <c r="AQ17" t="s">
        <v>301</v>
      </c>
      <c r="AR17" t="s">
        <v>489</v>
      </c>
      <c r="AS17" t="s">
        <v>784</v>
      </c>
      <c r="AT17" t="s">
        <v>184</v>
      </c>
      <c r="AU17" t="s">
        <v>214</v>
      </c>
      <c r="AV17" t="s">
        <v>187</v>
      </c>
      <c r="AW17" t="s">
        <v>785</v>
      </c>
      <c r="AX17" t="s">
        <v>485</v>
      </c>
      <c r="AY17" t="s">
        <v>598</v>
      </c>
      <c r="AZ17" t="s">
        <v>593</v>
      </c>
      <c r="BA17" t="s">
        <v>786</v>
      </c>
      <c r="BB17" t="s">
        <v>787</v>
      </c>
      <c r="BC17" t="s">
        <v>721</v>
      </c>
      <c r="BD17">
        <v>1712</v>
      </c>
      <c r="BE17">
        <v>1669</v>
      </c>
      <c r="BF17">
        <v>1676</v>
      </c>
      <c r="BG17">
        <v>1637</v>
      </c>
      <c r="BH17">
        <v>1645</v>
      </c>
      <c r="BY17" t="s">
        <v>177</v>
      </c>
      <c r="BZ17" t="s">
        <v>204</v>
      </c>
      <c r="CA17" t="s">
        <v>523</v>
      </c>
      <c r="CB17" t="s">
        <v>177</v>
      </c>
      <c r="CC17" t="s">
        <v>486</v>
      </c>
      <c r="CD17" t="s">
        <v>524</v>
      </c>
      <c r="CE17" t="s">
        <v>281</v>
      </c>
      <c r="CF17" t="s">
        <v>494</v>
      </c>
      <c r="CG17" t="s">
        <v>523</v>
      </c>
      <c r="CH17" t="s">
        <v>281</v>
      </c>
      <c r="CI17" t="s">
        <v>204</v>
      </c>
      <c r="CJ17" t="s">
        <v>281</v>
      </c>
      <c r="CK17" t="s">
        <v>201</v>
      </c>
      <c r="CL17" t="s">
        <v>213</v>
      </c>
      <c r="CM17" t="s">
        <v>281</v>
      </c>
      <c r="CN17" t="s">
        <v>174</v>
      </c>
      <c r="CO17" t="s">
        <v>213</v>
      </c>
      <c r="CP17" t="s">
        <v>281</v>
      </c>
      <c r="CQ17" t="s">
        <v>177</v>
      </c>
      <c r="CR17" t="s">
        <v>495</v>
      </c>
      <c r="CS17" t="s">
        <v>180</v>
      </c>
      <c r="CT17" t="s">
        <v>201</v>
      </c>
      <c r="CU17" t="s">
        <v>495</v>
      </c>
      <c r="CV17" t="s">
        <v>584</v>
      </c>
      <c r="CW17" t="s">
        <v>174</v>
      </c>
      <c r="CX17" t="s">
        <v>213</v>
      </c>
      <c r="CY17" t="s">
        <v>586</v>
      </c>
      <c r="CZ17" t="s">
        <v>207</v>
      </c>
      <c r="DA17" t="s">
        <v>211</v>
      </c>
      <c r="DB17" t="s">
        <v>216</v>
      </c>
      <c r="DC17" t="s">
        <v>281</v>
      </c>
      <c r="DD17" t="s">
        <v>214</v>
      </c>
      <c r="DE17" t="s">
        <v>216</v>
      </c>
      <c r="DF17" t="s">
        <v>496</v>
      </c>
      <c r="DG17" t="s">
        <v>557</v>
      </c>
      <c r="DH17" t="s">
        <v>216</v>
      </c>
      <c r="FH17" t="s">
        <v>788</v>
      </c>
    </row>
    <row r="18" spans="1:164" x14ac:dyDescent="0.25">
      <c r="A18">
        <v>4</v>
      </c>
      <c r="B18" t="s">
        <v>164</v>
      </c>
      <c r="C18">
        <v>46</v>
      </c>
      <c r="D18">
        <v>4601</v>
      </c>
      <c r="E18">
        <v>974738740</v>
      </c>
      <c r="F18" t="s">
        <v>165</v>
      </c>
      <c r="G18" t="s">
        <v>166</v>
      </c>
      <c r="H18" t="s">
        <v>167</v>
      </c>
      <c r="I18" t="s">
        <v>789</v>
      </c>
      <c r="J18" t="s">
        <v>789</v>
      </c>
      <c r="K18" t="s">
        <v>802</v>
      </c>
      <c r="L18" t="s">
        <v>184</v>
      </c>
      <c r="M18" t="s">
        <v>483</v>
      </c>
      <c r="N18" t="s">
        <v>797</v>
      </c>
      <c r="O18" t="s">
        <v>650</v>
      </c>
      <c r="P18" t="s">
        <v>790</v>
      </c>
      <c r="Q18" t="s">
        <v>612</v>
      </c>
      <c r="R18" t="s">
        <v>182</v>
      </c>
      <c r="T18" t="s">
        <v>506</v>
      </c>
      <c r="U18" t="s">
        <v>612</v>
      </c>
      <c r="V18" t="s">
        <v>474</v>
      </c>
      <c r="X18" t="s">
        <v>791</v>
      </c>
      <c r="Y18" t="s">
        <v>593</v>
      </c>
      <c r="Z18" t="s">
        <v>489</v>
      </c>
      <c r="AB18" t="s">
        <v>792</v>
      </c>
      <c r="AC18" t="s">
        <v>176</v>
      </c>
      <c r="AD18" t="s">
        <v>512</v>
      </c>
      <c r="AF18" t="s">
        <v>793</v>
      </c>
      <c r="AG18" t="s">
        <v>489</v>
      </c>
      <c r="AH18" t="s">
        <v>501</v>
      </c>
      <c r="AJ18" t="s">
        <v>593</v>
      </c>
      <c r="AK18" t="s">
        <v>794</v>
      </c>
      <c r="AL18" t="s">
        <v>795</v>
      </c>
      <c r="AM18" t="s">
        <v>623</v>
      </c>
      <c r="AN18" t="s">
        <v>187</v>
      </c>
      <c r="AO18" t="s">
        <v>796</v>
      </c>
      <c r="AP18" t="s">
        <v>698</v>
      </c>
      <c r="AQ18" t="s">
        <v>797</v>
      </c>
      <c r="AR18" t="s">
        <v>179</v>
      </c>
      <c r="AS18" t="s">
        <v>798</v>
      </c>
      <c r="AT18" t="s">
        <v>799</v>
      </c>
      <c r="AU18" t="s">
        <v>800</v>
      </c>
      <c r="AV18" t="s">
        <v>612</v>
      </c>
      <c r="AW18" t="s">
        <v>801</v>
      </c>
      <c r="AX18" t="s">
        <v>518</v>
      </c>
      <c r="AY18" t="s">
        <v>629</v>
      </c>
      <c r="AZ18" t="s">
        <v>612</v>
      </c>
      <c r="BA18" t="s">
        <v>702</v>
      </c>
      <c r="BB18" t="s">
        <v>660</v>
      </c>
      <c r="BC18" t="s">
        <v>598</v>
      </c>
      <c r="BD18">
        <v>1650</v>
      </c>
      <c r="BE18">
        <v>1567</v>
      </c>
      <c r="BF18">
        <v>1577</v>
      </c>
      <c r="BG18">
        <v>1604</v>
      </c>
      <c r="BH18">
        <v>1592</v>
      </c>
      <c r="BY18" t="s">
        <v>177</v>
      </c>
      <c r="BZ18" t="s">
        <v>494</v>
      </c>
      <c r="CA18" t="s">
        <v>209</v>
      </c>
      <c r="CB18" t="s">
        <v>216</v>
      </c>
      <c r="CC18" t="s">
        <v>494</v>
      </c>
      <c r="CD18" t="s">
        <v>215</v>
      </c>
      <c r="CE18" t="s">
        <v>177</v>
      </c>
      <c r="CF18" t="s">
        <v>211</v>
      </c>
      <c r="CG18" t="s">
        <v>519</v>
      </c>
      <c r="CH18" t="s">
        <v>207</v>
      </c>
      <c r="CI18" t="s">
        <v>494</v>
      </c>
      <c r="CJ18" t="s">
        <v>171</v>
      </c>
      <c r="CK18" t="s">
        <v>210</v>
      </c>
      <c r="CL18" t="s">
        <v>211</v>
      </c>
      <c r="CM18" t="s">
        <v>595</v>
      </c>
      <c r="CN18" t="s">
        <v>177</v>
      </c>
      <c r="CO18" t="s">
        <v>202</v>
      </c>
      <c r="CP18" t="s">
        <v>171</v>
      </c>
      <c r="CQ18" t="s">
        <v>207</v>
      </c>
      <c r="CR18" t="s">
        <v>214</v>
      </c>
      <c r="CS18" t="s">
        <v>595</v>
      </c>
      <c r="CT18" t="s">
        <v>525</v>
      </c>
      <c r="CU18" t="s">
        <v>522</v>
      </c>
      <c r="CV18" t="s">
        <v>595</v>
      </c>
      <c r="CW18" t="s">
        <v>210</v>
      </c>
      <c r="CX18" t="s">
        <v>630</v>
      </c>
      <c r="CY18" t="s">
        <v>595</v>
      </c>
      <c r="CZ18" t="s">
        <v>216</v>
      </c>
      <c r="DA18" t="s">
        <v>486</v>
      </c>
      <c r="DB18" t="s">
        <v>195</v>
      </c>
      <c r="DC18" t="s">
        <v>209</v>
      </c>
      <c r="DD18" t="s">
        <v>202</v>
      </c>
      <c r="DE18" t="s">
        <v>593</v>
      </c>
      <c r="DF18" t="s">
        <v>212</v>
      </c>
      <c r="DG18" t="s">
        <v>629</v>
      </c>
      <c r="DH18" t="s">
        <v>593</v>
      </c>
      <c r="FH18" t="s">
        <v>802</v>
      </c>
    </row>
    <row r="19" spans="1:164" x14ac:dyDescent="0.25">
      <c r="A19">
        <v>4</v>
      </c>
      <c r="B19" t="s">
        <v>164</v>
      </c>
      <c r="C19">
        <v>46</v>
      </c>
      <c r="D19">
        <v>4601</v>
      </c>
      <c r="E19">
        <v>974737949</v>
      </c>
      <c r="F19" t="s">
        <v>165</v>
      </c>
      <c r="G19" t="s">
        <v>166</v>
      </c>
      <c r="H19" t="s">
        <v>167</v>
      </c>
      <c r="I19" t="s">
        <v>815</v>
      </c>
      <c r="J19" t="s">
        <v>815</v>
      </c>
      <c r="K19" t="s">
        <v>835</v>
      </c>
      <c r="L19" t="s">
        <v>901</v>
      </c>
      <c r="M19" t="s">
        <v>715</v>
      </c>
      <c r="N19" t="s">
        <v>604</v>
      </c>
      <c r="O19" t="s">
        <v>731</v>
      </c>
      <c r="P19" t="s">
        <v>816</v>
      </c>
      <c r="Q19" t="s">
        <v>512</v>
      </c>
      <c r="R19" t="s">
        <v>811</v>
      </c>
      <c r="T19" t="s">
        <v>817</v>
      </c>
      <c r="U19" t="s">
        <v>176</v>
      </c>
      <c r="V19" t="s">
        <v>818</v>
      </c>
      <c r="X19" t="s">
        <v>531</v>
      </c>
      <c r="Y19" t="s">
        <v>187</v>
      </c>
      <c r="Z19" t="s">
        <v>819</v>
      </c>
      <c r="AB19" t="s">
        <v>820</v>
      </c>
      <c r="AC19" t="s">
        <v>612</v>
      </c>
      <c r="AD19" t="s">
        <v>821</v>
      </c>
      <c r="AF19" t="s">
        <v>822</v>
      </c>
      <c r="AG19" t="s">
        <v>179</v>
      </c>
      <c r="AH19" t="s">
        <v>584</v>
      </c>
      <c r="AJ19" t="s">
        <v>212</v>
      </c>
      <c r="AK19" t="s">
        <v>823</v>
      </c>
      <c r="AL19" t="s">
        <v>824</v>
      </c>
      <c r="AM19" t="s">
        <v>825</v>
      </c>
      <c r="AN19" t="s">
        <v>523</v>
      </c>
      <c r="AO19" t="s">
        <v>826</v>
      </c>
      <c r="AP19" t="s">
        <v>269</v>
      </c>
      <c r="AQ19" t="s">
        <v>827</v>
      </c>
      <c r="AR19" t="s">
        <v>523</v>
      </c>
      <c r="AS19" t="s">
        <v>553</v>
      </c>
      <c r="AT19" t="s">
        <v>828</v>
      </c>
      <c r="AU19" t="s">
        <v>829</v>
      </c>
      <c r="AV19" t="s">
        <v>212</v>
      </c>
      <c r="AW19" t="s">
        <v>830</v>
      </c>
      <c r="AX19" t="s">
        <v>831</v>
      </c>
      <c r="AY19" t="s">
        <v>829</v>
      </c>
      <c r="AZ19" t="s">
        <v>203</v>
      </c>
      <c r="BA19" t="s">
        <v>723</v>
      </c>
      <c r="BB19" t="s">
        <v>832</v>
      </c>
      <c r="BC19" t="s">
        <v>389</v>
      </c>
      <c r="BD19">
        <v>1328</v>
      </c>
      <c r="BE19">
        <v>1320</v>
      </c>
      <c r="BF19">
        <v>1478</v>
      </c>
      <c r="BG19">
        <v>1511</v>
      </c>
      <c r="BH19">
        <v>1478</v>
      </c>
      <c r="BY19" t="s">
        <v>177</v>
      </c>
      <c r="BZ19" t="s">
        <v>497</v>
      </c>
      <c r="CA19" t="s">
        <v>833</v>
      </c>
      <c r="CB19" t="s">
        <v>216</v>
      </c>
      <c r="CC19" t="s">
        <v>497</v>
      </c>
      <c r="CD19" t="s">
        <v>834</v>
      </c>
      <c r="CE19" t="s">
        <v>210</v>
      </c>
      <c r="CF19" t="s">
        <v>497</v>
      </c>
      <c r="CG19" t="s">
        <v>833</v>
      </c>
      <c r="CH19" t="s">
        <v>210</v>
      </c>
      <c r="CI19" t="s">
        <v>644</v>
      </c>
      <c r="CJ19" t="s">
        <v>180</v>
      </c>
      <c r="CK19" t="s">
        <v>215</v>
      </c>
      <c r="CL19" t="s">
        <v>213</v>
      </c>
      <c r="CM19" t="s">
        <v>600</v>
      </c>
      <c r="CN19" t="s">
        <v>216</v>
      </c>
      <c r="CO19" t="s">
        <v>557</v>
      </c>
      <c r="CP19" t="s">
        <v>726</v>
      </c>
      <c r="CQ19" t="s">
        <v>177</v>
      </c>
      <c r="CR19" t="s">
        <v>214</v>
      </c>
      <c r="CS19" t="s">
        <v>728</v>
      </c>
      <c r="CT19" t="s">
        <v>177</v>
      </c>
      <c r="CU19" t="s">
        <v>202</v>
      </c>
      <c r="CV19" t="s">
        <v>586</v>
      </c>
      <c r="CW19" t="s">
        <v>210</v>
      </c>
      <c r="CX19" t="s">
        <v>214</v>
      </c>
      <c r="CY19" t="s">
        <v>734</v>
      </c>
      <c r="CZ19" t="s">
        <v>281</v>
      </c>
      <c r="DA19" t="s">
        <v>213</v>
      </c>
      <c r="DB19" t="s">
        <v>183</v>
      </c>
      <c r="DC19" t="s">
        <v>207</v>
      </c>
      <c r="DD19" t="s">
        <v>213</v>
      </c>
      <c r="DE19" t="s">
        <v>183</v>
      </c>
      <c r="DF19" t="s">
        <v>174</v>
      </c>
      <c r="DG19" t="s">
        <v>202</v>
      </c>
      <c r="DH19" t="s">
        <v>183</v>
      </c>
      <c r="FH19" t="s">
        <v>835</v>
      </c>
    </row>
    <row r="20" spans="1:164" x14ac:dyDescent="0.25">
      <c r="A20">
        <v>4</v>
      </c>
      <c r="B20" t="s">
        <v>164</v>
      </c>
      <c r="C20">
        <v>46</v>
      </c>
      <c r="D20">
        <v>4601</v>
      </c>
      <c r="E20">
        <v>974738120</v>
      </c>
      <c r="F20" t="s">
        <v>165</v>
      </c>
      <c r="G20" t="s">
        <v>166</v>
      </c>
      <c r="H20" t="s">
        <v>167</v>
      </c>
      <c r="I20" t="s">
        <v>836</v>
      </c>
      <c r="J20" t="s">
        <v>836</v>
      </c>
      <c r="K20" t="s">
        <v>839</v>
      </c>
      <c r="L20" t="s">
        <v>1007</v>
      </c>
      <c r="M20" t="s">
        <v>635</v>
      </c>
      <c r="N20" t="s">
        <v>731</v>
      </c>
      <c r="O20" t="s">
        <v>263</v>
      </c>
      <c r="P20" t="s">
        <v>837</v>
      </c>
      <c r="Q20" t="s">
        <v>502</v>
      </c>
      <c r="R20" t="s">
        <v>170</v>
      </c>
      <c r="T20" t="s">
        <v>430</v>
      </c>
      <c r="U20" t="s">
        <v>502</v>
      </c>
      <c r="V20" t="s">
        <v>580</v>
      </c>
      <c r="X20" t="s">
        <v>507</v>
      </c>
      <c r="Y20" t="s">
        <v>530</v>
      </c>
      <c r="Z20" t="s">
        <v>476</v>
      </c>
      <c r="AB20" t="s">
        <v>172</v>
      </c>
      <c r="AC20" t="s">
        <v>480</v>
      </c>
      <c r="AD20" t="s">
        <v>519</v>
      </c>
      <c r="AF20" t="s">
        <v>838</v>
      </c>
      <c r="AG20" t="s">
        <v>170</v>
      </c>
      <c r="AH20" t="s">
        <v>533</v>
      </c>
      <c r="AJ20" t="s">
        <v>612</v>
      </c>
      <c r="AK20" t="s">
        <v>703</v>
      </c>
      <c r="AL20" t="s">
        <v>787</v>
      </c>
      <c r="AM20" t="s">
        <v>630</v>
      </c>
      <c r="AN20" t="s">
        <v>176</v>
      </c>
      <c r="AO20" t="s">
        <v>484</v>
      </c>
      <c r="AP20" t="s">
        <v>184</v>
      </c>
      <c r="AQ20" t="s">
        <v>208</v>
      </c>
      <c r="AR20" t="s">
        <v>489</v>
      </c>
      <c r="AS20" t="s">
        <v>192</v>
      </c>
      <c r="AT20" t="s">
        <v>184</v>
      </c>
      <c r="AU20" t="s">
        <v>800</v>
      </c>
      <c r="AV20" t="s">
        <v>182</v>
      </c>
      <c r="AW20" t="s">
        <v>485</v>
      </c>
      <c r="AX20" t="s">
        <v>625</v>
      </c>
      <c r="AY20" t="s">
        <v>266</v>
      </c>
      <c r="AZ20" t="s">
        <v>612</v>
      </c>
      <c r="BA20" t="s">
        <v>200</v>
      </c>
      <c r="BB20" t="s">
        <v>795</v>
      </c>
      <c r="BC20" t="s">
        <v>522</v>
      </c>
      <c r="BD20">
        <v>1320</v>
      </c>
      <c r="BE20">
        <v>1226</v>
      </c>
      <c r="BF20">
        <v>1341</v>
      </c>
      <c r="BG20">
        <v>1562</v>
      </c>
      <c r="BH20">
        <v>1652</v>
      </c>
      <c r="BY20" t="s">
        <v>174</v>
      </c>
      <c r="BZ20" t="s">
        <v>214</v>
      </c>
      <c r="CA20" t="s">
        <v>496</v>
      </c>
      <c r="CB20" t="s">
        <v>205</v>
      </c>
      <c r="CC20" t="s">
        <v>644</v>
      </c>
      <c r="CD20" t="s">
        <v>205</v>
      </c>
      <c r="CE20" t="s">
        <v>201</v>
      </c>
      <c r="CF20" t="s">
        <v>213</v>
      </c>
      <c r="CG20" t="s">
        <v>174</v>
      </c>
      <c r="CH20" t="s">
        <v>207</v>
      </c>
      <c r="CI20" t="s">
        <v>204</v>
      </c>
      <c r="CJ20" t="s">
        <v>201</v>
      </c>
      <c r="CK20" t="s">
        <v>216</v>
      </c>
      <c r="CL20" t="s">
        <v>213</v>
      </c>
      <c r="CM20" t="s">
        <v>201</v>
      </c>
      <c r="CN20" t="s">
        <v>177</v>
      </c>
      <c r="CO20" t="s">
        <v>214</v>
      </c>
      <c r="CP20" t="s">
        <v>201</v>
      </c>
      <c r="CQ20" t="s">
        <v>281</v>
      </c>
      <c r="CR20" t="s">
        <v>206</v>
      </c>
      <c r="CS20" t="s">
        <v>191</v>
      </c>
      <c r="CT20" t="s">
        <v>216</v>
      </c>
      <c r="CU20" t="s">
        <v>202</v>
      </c>
      <c r="CV20" t="s">
        <v>595</v>
      </c>
      <c r="CW20" t="s">
        <v>207</v>
      </c>
      <c r="CX20" t="s">
        <v>629</v>
      </c>
      <c r="CY20" t="s">
        <v>595</v>
      </c>
      <c r="CZ20" t="s">
        <v>207</v>
      </c>
      <c r="DA20" t="s">
        <v>557</v>
      </c>
      <c r="DB20" t="s">
        <v>217</v>
      </c>
      <c r="DC20" t="s">
        <v>210</v>
      </c>
      <c r="DD20" t="s">
        <v>497</v>
      </c>
      <c r="DE20" t="s">
        <v>216</v>
      </c>
      <c r="DF20" t="s">
        <v>177</v>
      </c>
      <c r="DG20" t="s">
        <v>486</v>
      </c>
      <c r="DH20" t="s">
        <v>217</v>
      </c>
      <c r="FH20" t="s">
        <v>839</v>
      </c>
    </row>
    <row r="21" spans="1:164" x14ac:dyDescent="0.25">
      <c r="A21">
        <v>4</v>
      </c>
      <c r="B21" t="s">
        <v>164</v>
      </c>
      <c r="C21">
        <v>46</v>
      </c>
      <c r="D21">
        <v>4601</v>
      </c>
      <c r="E21">
        <v>974738473</v>
      </c>
      <c r="F21" t="s">
        <v>165</v>
      </c>
      <c r="G21" t="s">
        <v>166</v>
      </c>
      <c r="H21" t="s">
        <v>167</v>
      </c>
      <c r="I21" t="s">
        <v>840</v>
      </c>
      <c r="J21" t="s">
        <v>840</v>
      </c>
      <c r="K21" t="s">
        <v>866</v>
      </c>
      <c r="P21" t="s">
        <v>841</v>
      </c>
      <c r="Q21" t="s">
        <v>508</v>
      </c>
      <c r="R21" t="s">
        <v>604</v>
      </c>
      <c r="T21" t="s">
        <v>842</v>
      </c>
      <c r="U21" t="s">
        <v>608</v>
      </c>
      <c r="V21" t="s">
        <v>604</v>
      </c>
      <c r="X21" t="s">
        <v>843</v>
      </c>
      <c r="Y21" t="s">
        <v>580</v>
      </c>
      <c r="Z21" t="s">
        <v>508</v>
      </c>
      <c r="AB21" t="s">
        <v>844</v>
      </c>
      <c r="AC21" t="s">
        <v>608</v>
      </c>
      <c r="AD21" t="s">
        <v>530</v>
      </c>
      <c r="AF21" t="s">
        <v>845</v>
      </c>
      <c r="AG21" t="s">
        <v>608</v>
      </c>
      <c r="AH21" t="s">
        <v>481</v>
      </c>
      <c r="AJ21" t="s">
        <v>212</v>
      </c>
      <c r="AK21" t="s">
        <v>846</v>
      </c>
      <c r="AL21" t="s">
        <v>847</v>
      </c>
      <c r="AM21" t="s">
        <v>558</v>
      </c>
      <c r="AN21" t="s">
        <v>212</v>
      </c>
      <c r="AO21" t="s">
        <v>848</v>
      </c>
      <c r="AP21" t="s">
        <v>759</v>
      </c>
      <c r="AQ21" t="s">
        <v>629</v>
      </c>
      <c r="AR21" t="s">
        <v>215</v>
      </c>
      <c r="AS21" t="s">
        <v>849</v>
      </c>
      <c r="AT21" t="s">
        <v>850</v>
      </c>
      <c r="AU21" t="s">
        <v>629</v>
      </c>
      <c r="AV21" t="s">
        <v>523</v>
      </c>
      <c r="AW21" t="s">
        <v>851</v>
      </c>
      <c r="AX21" t="s">
        <v>596</v>
      </c>
      <c r="AY21" t="s">
        <v>494</v>
      </c>
      <c r="AZ21" t="s">
        <v>171</v>
      </c>
      <c r="BA21" t="s">
        <v>852</v>
      </c>
      <c r="BB21" t="s">
        <v>853</v>
      </c>
      <c r="BC21" t="s">
        <v>557</v>
      </c>
      <c r="BD21">
        <v>1877</v>
      </c>
      <c r="BE21">
        <v>1975</v>
      </c>
      <c r="BF21">
        <v>2026</v>
      </c>
      <c r="BG21">
        <v>1879</v>
      </c>
      <c r="BH21">
        <v>1991</v>
      </c>
      <c r="BI21" t="s">
        <v>349</v>
      </c>
      <c r="BJ21" t="s">
        <v>350</v>
      </c>
      <c r="BK21" t="s">
        <v>186</v>
      </c>
      <c r="BL21" t="s">
        <v>533</v>
      </c>
      <c r="BM21" t="s">
        <v>631</v>
      </c>
      <c r="BN21" t="s">
        <v>612</v>
      </c>
      <c r="BO21" t="s">
        <v>721</v>
      </c>
      <c r="BP21" t="s">
        <v>529</v>
      </c>
      <c r="BQ21" t="s">
        <v>598</v>
      </c>
      <c r="BR21" t="s">
        <v>170</v>
      </c>
      <c r="BS21" t="s">
        <v>854</v>
      </c>
      <c r="BT21" t="s">
        <v>855</v>
      </c>
      <c r="BU21" t="s">
        <v>856</v>
      </c>
      <c r="BV21" t="s">
        <v>857</v>
      </c>
      <c r="BW21" t="s">
        <v>823</v>
      </c>
      <c r="BX21" t="s">
        <v>858</v>
      </c>
      <c r="DI21" t="s">
        <v>177</v>
      </c>
      <c r="DJ21" t="s">
        <v>560</v>
      </c>
      <c r="DK21" t="s">
        <v>559</v>
      </c>
      <c r="DN21" t="s">
        <v>556</v>
      </c>
      <c r="DQ21" t="s">
        <v>556</v>
      </c>
      <c r="DR21" t="s">
        <v>177</v>
      </c>
      <c r="DS21" t="s">
        <v>564</v>
      </c>
      <c r="DT21" t="s">
        <v>573</v>
      </c>
      <c r="DU21" t="s">
        <v>210</v>
      </c>
      <c r="DV21" t="s">
        <v>560</v>
      </c>
      <c r="DW21" t="s">
        <v>548</v>
      </c>
      <c r="DX21" t="s">
        <v>210</v>
      </c>
      <c r="DY21" t="s">
        <v>564</v>
      </c>
      <c r="DZ21" t="s">
        <v>561</v>
      </c>
      <c r="EA21" t="s">
        <v>207</v>
      </c>
      <c r="EB21" t="s">
        <v>669</v>
      </c>
      <c r="EC21" t="s">
        <v>859</v>
      </c>
      <c r="ED21" t="s">
        <v>525</v>
      </c>
      <c r="EE21" t="s">
        <v>558</v>
      </c>
      <c r="EF21" t="s">
        <v>860</v>
      </c>
      <c r="EG21" t="s">
        <v>217</v>
      </c>
      <c r="EH21" t="s">
        <v>558</v>
      </c>
      <c r="EI21" t="s">
        <v>861</v>
      </c>
      <c r="EJ21" t="s">
        <v>201</v>
      </c>
      <c r="EK21" t="s">
        <v>606</v>
      </c>
      <c r="EL21" t="s">
        <v>862</v>
      </c>
      <c r="EM21" t="s">
        <v>216</v>
      </c>
      <c r="EN21" t="s">
        <v>606</v>
      </c>
      <c r="EO21" t="s">
        <v>863</v>
      </c>
      <c r="EP21" t="s">
        <v>177</v>
      </c>
      <c r="EQ21" t="s">
        <v>562</v>
      </c>
      <c r="ER21" t="s">
        <v>575</v>
      </c>
      <c r="ES21" t="s">
        <v>389</v>
      </c>
      <c r="ET21" t="s">
        <v>306</v>
      </c>
      <c r="EU21" t="s">
        <v>864</v>
      </c>
      <c r="EV21" t="s">
        <v>300</v>
      </c>
      <c r="EW21" t="s">
        <v>300</v>
      </c>
      <c r="EX21" t="s">
        <v>561</v>
      </c>
      <c r="EY21">
        <v>130</v>
      </c>
      <c r="EZ21">
        <v>80</v>
      </c>
      <c r="FA21" t="s">
        <v>554</v>
      </c>
      <c r="FB21" t="s">
        <v>574</v>
      </c>
      <c r="FC21" t="s">
        <v>468</v>
      </c>
      <c r="FD21" t="s">
        <v>865</v>
      </c>
      <c r="FE21">
        <v>110</v>
      </c>
      <c r="FF21">
        <v>95</v>
      </c>
      <c r="FG21" t="s">
        <v>552</v>
      </c>
      <c r="FH21" t="s">
        <v>866</v>
      </c>
    </row>
    <row r="22" spans="1:164" x14ac:dyDescent="0.25">
      <c r="A22">
        <v>4</v>
      </c>
      <c r="B22" t="s">
        <v>164</v>
      </c>
      <c r="C22">
        <v>46</v>
      </c>
      <c r="D22">
        <v>4601</v>
      </c>
      <c r="E22">
        <v>974738015</v>
      </c>
      <c r="F22" t="s">
        <v>165</v>
      </c>
      <c r="G22" t="s">
        <v>166</v>
      </c>
      <c r="H22" t="s">
        <v>167</v>
      </c>
      <c r="I22" t="s">
        <v>867</v>
      </c>
      <c r="J22" t="s">
        <v>1497</v>
      </c>
      <c r="K22" t="s">
        <v>893</v>
      </c>
      <c r="P22" t="s">
        <v>868</v>
      </c>
      <c r="Q22" t="s">
        <v>179</v>
      </c>
      <c r="R22" t="s">
        <v>504</v>
      </c>
      <c r="T22" t="s">
        <v>869</v>
      </c>
      <c r="U22" t="s">
        <v>187</v>
      </c>
      <c r="V22" t="s">
        <v>473</v>
      </c>
      <c r="X22" t="s">
        <v>870</v>
      </c>
      <c r="Y22" t="s">
        <v>182</v>
      </c>
      <c r="Z22" t="s">
        <v>504</v>
      </c>
      <c r="AB22" t="s">
        <v>871</v>
      </c>
      <c r="AC22" t="s">
        <v>474</v>
      </c>
      <c r="AD22" t="s">
        <v>580</v>
      </c>
      <c r="AF22" t="s">
        <v>872</v>
      </c>
      <c r="AG22" t="s">
        <v>512</v>
      </c>
      <c r="AH22" t="s">
        <v>504</v>
      </c>
      <c r="AJ22" t="s">
        <v>600</v>
      </c>
      <c r="AK22" t="s">
        <v>873</v>
      </c>
      <c r="AL22" t="s">
        <v>725</v>
      </c>
      <c r="AM22" t="s">
        <v>644</v>
      </c>
      <c r="AN22" t="s">
        <v>582</v>
      </c>
      <c r="AO22" t="s">
        <v>874</v>
      </c>
      <c r="AP22" t="s">
        <v>875</v>
      </c>
      <c r="AQ22" t="s">
        <v>644</v>
      </c>
      <c r="AR22" t="s">
        <v>180</v>
      </c>
      <c r="AS22" t="s">
        <v>876</v>
      </c>
      <c r="AT22" t="s">
        <v>877</v>
      </c>
      <c r="AU22" t="s">
        <v>190</v>
      </c>
      <c r="AV22" t="s">
        <v>496</v>
      </c>
      <c r="AW22" t="s">
        <v>878</v>
      </c>
      <c r="AX22" t="s">
        <v>830</v>
      </c>
      <c r="AY22" t="s">
        <v>351</v>
      </c>
      <c r="AZ22" t="s">
        <v>205</v>
      </c>
      <c r="BA22" t="s">
        <v>879</v>
      </c>
      <c r="BB22" t="s">
        <v>880</v>
      </c>
      <c r="BC22" t="s">
        <v>204</v>
      </c>
      <c r="BD22">
        <v>2000</v>
      </c>
      <c r="BE22">
        <v>1981</v>
      </c>
      <c r="BF22">
        <v>1991</v>
      </c>
      <c r="BG22">
        <v>2000</v>
      </c>
      <c r="BH22">
        <v>1886</v>
      </c>
      <c r="BI22" t="s">
        <v>349</v>
      </c>
      <c r="BJ22" t="s">
        <v>350</v>
      </c>
      <c r="BK22" t="s">
        <v>263</v>
      </c>
      <c r="BL22" t="s">
        <v>524</v>
      </c>
      <c r="BM22" t="s">
        <v>351</v>
      </c>
      <c r="BN22" t="s">
        <v>195</v>
      </c>
      <c r="BO22" t="s">
        <v>186</v>
      </c>
      <c r="BP22" t="s">
        <v>195</v>
      </c>
      <c r="BQ22" t="s">
        <v>266</v>
      </c>
      <c r="BR22" t="s">
        <v>512</v>
      </c>
      <c r="BS22" t="s">
        <v>810</v>
      </c>
      <c r="BT22" t="s">
        <v>881</v>
      </c>
      <c r="BU22" t="s">
        <v>882</v>
      </c>
      <c r="BV22" t="s">
        <v>883</v>
      </c>
      <c r="BW22" t="s">
        <v>884</v>
      </c>
      <c r="BX22" t="s">
        <v>610</v>
      </c>
      <c r="DK22" t="s">
        <v>556</v>
      </c>
      <c r="DN22" t="s">
        <v>556</v>
      </c>
      <c r="DQ22" t="s">
        <v>556</v>
      </c>
      <c r="DR22" t="s">
        <v>281</v>
      </c>
      <c r="DS22" t="s">
        <v>564</v>
      </c>
      <c r="DT22" t="s">
        <v>885</v>
      </c>
      <c r="DU22" t="s">
        <v>177</v>
      </c>
      <c r="DV22" t="s">
        <v>562</v>
      </c>
      <c r="DW22" t="s">
        <v>886</v>
      </c>
      <c r="DX22" t="s">
        <v>177</v>
      </c>
      <c r="DY22" t="s">
        <v>564</v>
      </c>
      <c r="DZ22" t="s">
        <v>886</v>
      </c>
      <c r="EA22" t="s">
        <v>201</v>
      </c>
      <c r="EB22" t="s">
        <v>562</v>
      </c>
      <c r="EC22" t="s">
        <v>887</v>
      </c>
      <c r="ED22" t="s">
        <v>207</v>
      </c>
      <c r="EE22" t="s">
        <v>562</v>
      </c>
      <c r="EF22" t="s">
        <v>888</v>
      </c>
      <c r="EG22" t="s">
        <v>281</v>
      </c>
      <c r="EH22" t="s">
        <v>560</v>
      </c>
      <c r="EI22" t="s">
        <v>887</v>
      </c>
      <c r="EJ22" t="s">
        <v>174</v>
      </c>
      <c r="EK22" t="s">
        <v>606</v>
      </c>
      <c r="EL22" t="s">
        <v>611</v>
      </c>
      <c r="EM22" t="s">
        <v>281</v>
      </c>
      <c r="EN22" t="s">
        <v>564</v>
      </c>
      <c r="EO22" t="s">
        <v>889</v>
      </c>
      <c r="EP22" t="s">
        <v>207</v>
      </c>
      <c r="EQ22" t="s">
        <v>562</v>
      </c>
      <c r="ER22" t="s">
        <v>890</v>
      </c>
      <c r="ES22" t="s">
        <v>731</v>
      </c>
      <c r="ET22" t="s">
        <v>211</v>
      </c>
      <c r="EU22" t="s">
        <v>863</v>
      </c>
      <c r="EV22" t="s">
        <v>300</v>
      </c>
      <c r="EW22" t="s">
        <v>389</v>
      </c>
      <c r="EX22" t="s">
        <v>865</v>
      </c>
      <c r="EY22">
        <v>0</v>
      </c>
      <c r="EZ22">
        <v>80</v>
      </c>
      <c r="FA22" t="s">
        <v>891</v>
      </c>
      <c r="FB22" t="s">
        <v>301</v>
      </c>
      <c r="FC22" t="s">
        <v>574</v>
      </c>
      <c r="FD22" t="s">
        <v>708</v>
      </c>
      <c r="FE22">
        <v>75</v>
      </c>
      <c r="FF22">
        <v>110</v>
      </c>
      <c r="FG22" t="s">
        <v>892</v>
      </c>
      <c r="FH22" t="s">
        <v>893</v>
      </c>
    </row>
    <row r="23" spans="1:164" x14ac:dyDescent="0.25">
      <c r="A23">
        <v>4</v>
      </c>
      <c r="B23" t="s">
        <v>164</v>
      </c>
      <c r="C23">
        <v>46</v>
      </c>
      <c r="D23">
        <v>4601</v>
      </c>
      <c r="E23">
        <v>974738066</v>
      </c>
      <c r="F23" t="s">
        <v>165</v>
      </c>
      <c r="G23" t="s">
        <v>166</v>
      </c>
      <c r="H23" t="s">
        <v>167</v>
      </c>
      <c r="I23" t="s">
        <v>894</v>
      </c>
      <c r="J23" t="s">
        <v>1498</v>
      </c>
      <c r="K23" t="s">
        <v>905</v>
      </c>
      <c r="L23" t="s">
        <v>468</v>
      </c>
      <c r="M23" t="s">
        <v>1400</v>
      </c>
      <c r="N23" t="s">
        <v>604</v>
      </c>
      <c r="O23" t="s">
        <v>604</v>
      </c>
      <c r="P23" t="s">
        <v>895</v>
      </c>
      <c r="Q23" t="s">
        <v>476</v>
      </c>
      <c r="R23" t="s">
        <v>523</v>
      </c>
      <c r="T23" t="s">
        <v>896</v>
      </c>
      <c r="U23" t="s">
        <v>581</v>
      </c>
      <c r="V23" t="s">
        <v>209</v>
      </c>
      <c r="X23" t="s">
        <v>897</v>
      </c>
      <c r="Y23" t="s">
        <v>501</v>
      </c>
      <c r="Z23" t="s">
        <v>496</v>
      </c>
      <c r="AB23" t="s">
        <v>898</v>
      </c>
      <c r="AC23" t="s">
        <v>529</v>
      </c>
      <c r="AD23" t="s">
        <v>207</v>
      </c>
      <c r="AF23" t="s">
        <v>706</v>
      </c>
      <c r="AG23" t="s">
        <v>519</v>
      </c>
      <c r="AH23" t="s">
        <v>207</v>
      </c>
      <c r="AJ23" t="s">
        <v>529</v>
      </c>
      <c r="AK23" t="s">
        <v>805</v>
      </c>
      <c r="AL23" t="s">
        <v>718</v>
      </c>
      <c r="AM23" t="s">
        <v>208</v>
      </c>
      <c r="AN23" t="s">
        <v>170</v>
      </c>
      <c r="AO23" t="s">
        <v>899</v>
      </c>
      <c r="AP23" t="s">
        <v>900</v>
      </c>
      <c r="AQ23" t="s">
        <v>204</v>
      </c>
      <c r="AR23" t="s">
        <v>473</v>
      </c>
      <c r="AS23" t="s">
        <v>770</v>
      </c>
      <c r="AT23" t="s">
        <v>901</v>
      </c>
      <c r="AU23" t="s">
        <v>204</v>
      </c>
      <c r="AV23" t="s">
        <v>173</v>
      </c>
      <c r="AW23" t="s">
        <v>902</v>
      </c>
      <c r="AX23" t="s">
        <v>903</v>
      </c>
      <c r="AY23" t="s">
        <v>644</v>
      </c>
      <c r="AZ23" t="s">
        <v>512</v>
      </c>
      <c r="BA23" t="s">
        <v>904</v>
      </c>
      <c r="BB23" t="s">
        <v>805</v>
      </c>
      <c r="BC23" t="s">
        <v>204</v>
      </c>
      <c r="BD23">
        <v>1626</v>
      </c>
      <c r="BE23">
        <v>1564</v>
      </c>
      <c r="BF23">
        <v>1617</v>
      </c>
      <c r="BG23">
        <v>1525</v>
      </c>
      <c r="BH23">
        <v>1471</v>
      </c>
      <c r="BY23" t="s">
        <v>205</v>
      </c>
      <c r="BZ23" t="s">
        <v>522</v>
      </c>
      <c r="CA23" t="s">
        <v>529</v>
      </c>
      <c r="CB23" t="s">
        <v>210</v>
      </c>
      <c r="CC23" t="s">
        <v>351</v>
      </c>
      <c r="CD23" t="s">
        <v>473</v>
      </c>
      <c r="CE23" t="s">
        <v>174</v>
      </c>
      <c r="CF23" t="s">
        <v>211</v>
      </c>
      <c r="CG23" t="s">
        <v>529</v>
      </c>
      <c r="CH23" t="s">
        <v>216</v>
      </c>
      <c r="CI23" t="s">
        <v>211</v>
      </c>
      <c r="CJ23" t="s">
        <v>593</v>
      </c>
      <c r="CK23" t="s">
        <v>177</v>
      </c>
      <c r="CL23" t="s">
        <v>494</v>
      </c>
      <c r="CM23" t="s">
        <v>191</v>
      </c>
      <c r="CN23" t="s">
        <v>210</v>
      </c>
      <c r="CO23" t="s">
        <v>557</v>
      </c>
      <c r="CP23" t="s">
        <v>489</v>
      </c>
      <c r="CQ23" t="s">
        <v>210</v>
      </c>
      <c r="CR23" t="s">
        <v>598</v>
      </c>
      <c r="CS23" t="s">
        <v>474</v>
      </c>
      <c r="CT23" t="s">
        <v>210</v>
      </c>
      <c r="CU23" t="s">
        <v>630</v>
      </c>
      <c r="CV23" t="s">
        <v>173</v>
      </c>
      <c r="CW23" t="s">
        <v>281</v>
      </c>
      <c r="CX23" t="s">
        <v>626</v>
      </c>
      <c r="CY23" t="s">
        <v>474</v>
      </c>
      <c r="CZ23" t="s">
        <v>174</v>
      </c>
      <c r="DA23" t="s">
        <v>198</v>
      </c>
      <c r="DB23" t="s">
        <v>182</v>
      </c>
      <c r="DC23" t="s">
        <v>174</v>
      </c>
      <c r="DD23" t="s">
        <v>557</v>
      </c>
      <c r="DE23" t="s">
        <v>182</v>
      </c>
      <c r="DF23" t="s">
        <v>174</v>
      </c>
      <c r="DG23" t="s">
        <v>266</v>
      </c>
      <c r="DH23" t="s">
        <v>182</v>
      </c>
      <c r="FH23" t="s">
        <v>905</v>
      </c>
    </row>
    <row r="24" spans="1:164" x14ac:dyDescent="0.25">
      <c r="A24">
        <v>4</v>
      </c>
      <c r="B24" t="s">
        <v>164</v>
      </c>
      <c r="C24">
        <v>46</v>
      </c>
      <c r="D24">
        <v>4601</v>
      </c>
      <c r="E24">
        <v>974738562</v>
      </c>
      <c r="F24" t="s">
        <v>165</v>
      </c>
      <c r="G24" t="s">
        <v>166</v>
      </c>
      <c r="H24" t="s">
        <v>167</v>
      </c>
      <c r="I24" t="s">
        <v>906</v>
      </c>
      <c r="J24" t="s">
        <v>1499</v>
      </c>
      <c r="K24" t="s">
        <v>916</v>
      </c>
      <c r="L24" t="s">
        <v>634</v>
      </c>
      <c r="M24" t="s">
        <v>1244</v>
      </c>
      <c r="N24" t="s">
        <v>604</v>
      </c>
      <c r="O24" t="s">
        <v>800</v>
      </c>
      <c r="P24" t="s">
        <v>907</v>
      </c>
      <c r="Q24" t="s">
        <v>512</v>
      </c>
      <c r="R24" t="s">
        <v>608</v>
      </c>
      <c r="T24" t="s">
        <v>908</v>
      </c>
      <c r="U24" t="s">
        <v>480</v>
      </c>
      <c r="V24" t="s">
        <v>505</v>
      </c>
      <c r="X24" t="s">
        <v>909</v>
      </c>
      <c r="Y24" t="s">
        <v>473</v>
      </c>
      <c r="Z24" t="s">
        <v>504</v>
      </c>
      <c r="AB24" t="s">
        <v>910</v>
      </c>
      <c r="AC24" t="s">
        <v>581</v>
      </c>
      <c r="AD24" t="s">
        <v>505</v>
      </c>
      <c r="AF24" t="s">
        <v>911</v>
      </c>
      <c r="AG24" t="s">
        <v>508</v>
      </c>
      <c r="AH24" t="s">
        <v>504</v>
      </c>
      <c r="AJ24" t="s">
        <v>593</v>
      </c>
      <c r="AK24" t="s">
        <v>761</v>
      </c>
      <c r="AL24" t="s">
        <v>592</v>
      </c>
      <c r="AM24" t="s">
        <v>351</v>
      </c>
      <c r="AN24" t="s">
        <v>195</v>
      </c>
      <c r="AO24" t="s">
        <v>912</v>
      </c>
      <c r="AP24" t="s">
        <v>758</v>
      </c>
      <c r="AQ24" t="s">
        <v>598</v>
      </c>
      <c r="AR24" t="s">
        <v>187</v>
      </c>
      <c r="AS24" t="s">
        <v>484</v>
      </c>
      <c r="AT24" t="s">
        <v>913</v>
      </c>
      <c r="AU24" t="s">
        <v>351</v>
      </c>
      <c r="AV24" t="s">
        <v>489</v>
      </c>
      <c r="AW24" t="s">
        <v>488</v>
      </c>
      <c r="AX24" t="s">
        <v>914</v>
      </c>
      <c r="AY24" t="s">
        <v>186</v>
      </c>
      <c r="AZ24" t="s">
        <v>489</v>
      </c>
      <c r="BA24" t="s">
        <v>915</v>
      </c>
      <c r="BB24" t="s">
        <v>801</v>
      </c>
      <c r="BC24" t="s">
        <v>630</v>
      </c>
      <c r="BD24">
        <v>1518</v>
      </c>
      <c r="BE24">
        <v>1601</v>
      </c>
      <c r="BF24">
        <v>1558</v>
      </c>
      <c r="BG24">
        <v>1679</v>
      </c>
      <c r="BH24">
        <v>1638</v>
      </c>
      <c r="BY24" t="s">
        <v>174</v>
      </c>
      <c r="BZ24" t="s">
        <v>214</v>
      </c>
      <c r="CA24" t="s">
        <v>523</v>
      </c>
      <c r="CB24" t="s">
        <v>281</v>
      </c>
      <c r="CC24" t="s">
        <v>494</v>
      </c>
      <c r="CD24" t="s">
        <v>203</v>
      </c>
      <c r="CE24" t="s">
        <v>177</v>
      </c>
      <c r="CF24" t="s">
        <v>206</v>
      </c>
      <c r="CG24" t="s">
        <v>595</v>
      </c>
      <c r="CH24" t="s">
        <v>177</v>
      </c>
      <c r="CI24" t="s">
        <v>213</v>
      </c>
      <c r="CJ24" t="s">
        <v>600</v>
      </c>
      <c r="CK24" t="s">
        <v>177</v>
      </c>
      <c r="CL24" t="s">
        <v>494</v>
      </c>
      <c r="CM24" t="s">
        <v>582</v>
      </c>
      <c r="CN24" t="s">
        <v>281</v>
      </c>
      <c r="CO24" t="s">
        <v>213</v>
      </c>
      <c r="CP24" t="s">
        <v>600</v>
      </c>
      <c r="CQ24" t="s">
        <v>216</v>
      </c>
      <c r="CR24" t="s">
        <v>213</v>
      </c>
      <c r="CS24" t="s">
        <v>201</v>
      </c>
      <c r="CT24" t="s">
        <v>210</v>
      </c>
      <c r="CU24" t="s">
        <v>566</v>
      </c>
      <c r="CV24" t="s">
        <v>201</v>
      </c>
      <c r="CW24" t="s">
        <v>215</v>
      </c>
      <c r="CX24" t="s">
        <v>213</v>
      </c>
      <c r="CY24" t="s">
        <v>201</v>
      </c>
      <c r="CZ24" t="s">
        <v>281</v>
      </c>
      <c r="DA24" t="s">
        <v>301</v>
      </c>
      <c r="DB24" t="s">
        <v>727</v>
      </c>
      <c r="DC24" t="s">
        <v>174</v>
      </c>
      <c r="DD24" t="s">
        <v>301</v>
      </c>
      <c r="DE24" t="s">
        <v>727</v>
      </c>
      <c r="DF24" t="s">
        <v>216</v>
      </c>
      <c r="DG24" t="s">
        <v>669</v>
      </c>
      <c r="DH24" t="s">
        <v>727</v>
      </c>
      <c r="FH24" t="s">
        <v>916</v>
      </c>
    </row>
    <row r="25" spans="1:164" x14ac:dyDescent="0.25">
      <c r="A25">
        <v>4</v>
      </c>
      <c r="B25" t="s">
        <v>164</v>
      </c>
      <c r="C25">
        <v>46</v>
      </c>
      <c r="D25">
        <v>4601</v>
      </c>
      <c r="E25">
        <v>974737930</v>
      </c>
      <c r="F25" t="s">
        <v>165</v>
      </c>
      <c r="G25" t="s">
        <v>166</v>
      </c>
      <c r="H25" t="s">
        <v>167</v>
      </c>
      <c r="I25" t="s">
        <v>917</v>
      </c>
      <c r="J25" t="s">
        <v>1500</v>
      </c>
      <c r="K25" t="s">
        <v>922</v>
      </c>
      <c r="L25" t="s">
        <v>263</v>
      </c>
      <c r="M25" t="s">
        <v>731</v>
      </c>
      <c r="N25" t="s">
        <v>604</v>
      </c>
      <c r="O25" t="s">
        <v>731</v>
      </c>
      <c r="P25" t="s">
        <v>918</v>
      </c>
      <c r="Q25" t="s">
        <v>502</v>
      </c>
      <c r="R25" t="s">
        <v>604</v>
      </c>
      <c r="T25" t="s">
        <v>919</v>
      </c>
      <c r="U25" t="s">
        <v>502</v>
      </c>
      <c r="V25" t="s">
        <v>604</v>
      </c>
      <c r="X25" t="s">
        <v>920</v>
      </c>
      <c r="Y25" t="s">
        <v>505</v>
      </c>
      <c r="Z25" t="s">
        <v>481</v>
      </c>
      <c r="AB25" t="s">
        <v>324</v>
      </c>
      <c r="AC25" t="s">
        <v>480</v>
      </c>
      <c r="AD25" t="s">
        <v>530</v>
      </c>
      <c r="AF25" t="s">
        <v>921</v>
      </c>
      <c r="AG25" t="s">
        <v>608</v>
      </c>
      <c r="AH25" t="s">
        <v>530</v>
      </c>
      <c r="AJ25" t="s">
        <v>176</v>
      </c>
      <c r="AK25" t="s">
        <v>490</v>
      </c>
      <c r="AL25" t="s">
        <v>517</v>
      </c>
      <c r="AM25" t="s">
        <v>494</v>
      </c>
      <c r="AN25" t="s">
        <v>176</v>
      </c>
      <c r="AO25" t="s">
        <v>796</v>
      </c>
      <c r="AP25" t="s">
        <v>914</v>
      </c>
      <c r="AQ25" t="s">
        <v>486</v>
      </c>
      <c r="AR25" t="s">
        <v>176</v>
      </c>
      <c r="AS25" t="s">
        <v>701</v>
      </c>
      <c r="AT25" t="s">
        <v>520</v>
      </c>
      <c r="AU25" t="s">
        <v>301</v>
      </c>
      <c r="AV25" t="s">
        <v>489</v>
      </c>
      <c r="AW25" t="s">
        <v>592</v>
      </c>
      <c r="AX25" t="s">
        <v>801</v>
      </c>
      <c r="AY25" t="s">
        <v>522</v>
      </c>
      <c r="AZ25" t="s">
        <v>612</v>
      </c>
      <c r="BA25" t="s">
        <v>624</v>
      </c>
      <c r="BB25" t="s">
        <v>670</v>
      </c>
      <c r="BC25" t="s">
        <v>494</v>
      </c>
      <c r="BD25">
        <v>1636</v>
      </c>
      <c r="BE25">
        <v>1603</v>
      </c>
      <c r="BF25">
        <v>1618</v>
      </c>
      <c r="BG25">
        <v>1658</v>
      </c>
      <c r="BH25">
        <v>1683</v>
      </c>
      <c r="BY25" t="s">
        <v>201</v>
      </c>
      <c r="BZ25" t="s">
        <v>497</v>
      </c>
      <c r="CA25" t="s">
        <v>726</v>
      </c>
      <c r="CB25" t="s">
        <v>496</v>
      </c>
      <c r="CC25" t="s">
        <v>497</v>
      </c>
      <c r="CD25" t="s">
        <v>726</v>
      </c>
      <c r="CE25" t="s">
        <v>183</v>
      </c>
      <c r="CF25" t="s">
        <v>495</v>
      </c>
      <c r="CG25" t="s">
        <v>726</v>
      </c>
      <c r="CH25" t="s">
        <v>201</v>
      </c>
      <c r="CI25" t="s">
        <v>211</v>
      </c>
      <c r="CJ25" t="s">
        <v>216</v>
      </c>
      <c r="CK25" t="s">
        <v>600</v>
      </c>
      <c r="CL25" t="s">
        <v>213</v>
      </c>
      <c r="CM25" t="s">
        <v>210</v>
      </c>
      <c r="CN25" t="s">
        <v>183</v>
      </c>
      <c r="CO25" t="s">
        <v>644</v>
      </c>
      <c r="CP25" t="s">
        <v>210</v>
      </c>
      <c r="CQ25" t="s">
        <v>205</v>
      </c>
      <c r="CR25" t="s">
        <v>202</v>
      </c>
      <c r="CS25" t="s">
        <v>212</v>
      </c>
      <c r="CT25" t="s">
        <v>183</v>
      </c>
      <c r="CU25" t="s">
        <v>301</v>
      </c>
      <c r="CV25" t="s">
        <v>209</v>
      </c>
      <c r="CW25" t="s">
        <v>600</v>
      </c>
      <c r="CX25" t="s">
        <v>214</v>
      </c>
      <c r="CY25" t="s">
        <v>209</v>
      </c>
      <c r="CZ25" t="s">
        <v>207</v>
      </c>
      <c r="DA25" t="s">
        <v>497</v>
      </c>
      <c r="DB25" t="s">
        <v>205</v>
      </c>
      <c r="DC25" t="s">
        <v>174</v>
      </c>
      <c r="DD25" t="s">
        <v>494</v>
      </c>
      <c r="DE25" t="s">
        <v>281</v>
      </c>
      <c r="DF25" t="s">
        <v>201</v>
      </c>
      <c r="DG25" t="s">
        <v>204</v>
      </c>
      <c r="DH25" t="s">
        <v>183</v>
      </c>
      <c r="FH25" t="s">
        <v>922</v>
      </c>
    </row>
    <row r="26" spans="1:164" x14ac:dyDescent="0.25">
      <c r="A26">
        <v>4</v>
      </c>
      <c r="B26" t="s">
        <v>164</v>
      </c>
      <c r="C26">
        <v>46</v>
      </c>
      <c r="D26">
        <v>4601</v>
      </c>
      <c r="E26">
        <v>974737892</v>
      </c>
      <c r="F26" t="s">
        <v>165</v>
      </c>
      <c r="G26" t="s">
        <v>166</v>
      </c>
      <c r="H26" t="s">
        <v>167</v>
      </c>
      <c r="I26" t="s">
        <v>923</v>
      </c>
      <c r="J26" t="s">
        <v>1501</v>
      </c>
      <c r="K26" t="s">
        <v>931</v>
      </c>
      <c r="L26" t="s">
        <v>301</v>
      </c>
      <c r="M26" t="s">
        <v>604</v>
      </c>
      <c r="N26" t="s">
        <v>604</v>
      </c>
      <c r="O26" t="s">
        <v>731</v>
      </c>
      <c r="P26" t="s">
        <v>753</v>
      </c>
      <c r="Q26" t="s">
        <v>580</v>
      </c>
      <c r="R26" t="s">
        <v>476</v>
      </c>
      <c r="T26" t="s">
        <v>696</v>
      </c>
      <c r="U26" t="s">
        <v>480</v>
      </c>
      <c r="V26" t="s">
        <v>170</v>
      </c>
      <c r="X26" t="s">
        <v>924</v>
      </c>
      <c r="Y26" t="s">
        <v>580</v>
      </c>
      <c r="Z26" t="s">
        <v>191</v>
      </c>
      <c r="AB26" t="s">
        <v>925</v>
      </c>
      <c r="AC26" t="s">
        <v>473</v>
      </c>
      <c r="AD26" t="s">
        <v>524</v>
      </c>
      <c r="AF26" t="s">
        <v>579</v>
      </c>
      <c r="AG26" t="s">
        <v>529</v>
      </c>
      <c r="AH26" t="s">
        <v>195</v>
      </c>
      <c r="AJ26" t="s">
        <v>489</v>
      </c>
      <c r="AK26" t="s">
        <v>199</v>
      </c>
      <c r="AL26" t="s">
        <v>485</v>
      </c>
      <c r="AM26" t="s">
        <v>206</v>
      </c>
      <c r="AN26" t="s">
        <v>179</v>
      </c>
      <c r="AO26" t="s">
        <v>926</v>
      </c>
      <c r="AP26" t="s">
        <v>200</v>
      </c>
      <c r="AQ26" t="s">
        <v>644</v>
      </c>
      <c r="AR26" t="s">
        <v>489</v>
      </c>
      <c r="AS26" t="s">
        <v>783</v>
      </c>
      <c r="AT26" t="s">
        <v>491</v>
      </c>
      <c r="AU26" t="s">
        <v>637</v>
      </c>
      <c r="AV26" t="s">
        <v>195</v>
      </c>
      <c r="AW26" t="s">
        <v>927</v>
      </c>
      <c r="AX26" t="s">
        <v>928</v>
      </c>
      <c r="AY26" t="s">
        <v>929</v>
      </c>
      <c r="AZ26" t="s">
        <v>171</v>
      </c>
      <c r="BA26" t="s">
        <v>930</v>
      </c>
      <c r="BB26" t="s">
        <v>787</v>
      </c>
      <c r="BC26" t="s">
        <v>306</v>
      </c>
      <c r="BD26">
        <v>1668</v>
      </c>
      <c r="BE26">
        <v>1703</v>
      </c>
      <c r="BF26">
        <v>1618</v>
      </c>
      <c r="BG26">
        <v>1675</v>
      </c>
      <c r="BH26">
        <v>1609</v>
      </c>
      <c r="BY26" t="s">
        <v>174</v>
      </c>
      <c r="BZ26" t="s">
        <v>494</v>
      </c>
      <c r="CA26" t="s">
        <v>201</v>
      </c>
      <c r="CB26" t="s">
        <v>201</v>
      </c>
      <c r="CC26" t="s">
        <v>214</v>
      </c>
      <c r="CD26" t="s">
        <v>205</v>
      </c>
      <c r="CG26" t="s">
        <v>556</v>
      </c>
      <c r="CH26" t="s">
        <v>207</v>
      </c>
      <c r="CI26" t="s">
        <v>557</v>
      </c>
      <c r="CJ26" t="s">
        <v>525</v>
      </c>
      <c r="CK26" t="s">
        <v>207</v>
      </c>
      <c r="CL26" t="s">
        <v>202</v>
      </c>
      <c r="CM26" t="s">
        <v>525</v>
      </c>
      <c r="CN26" t="s">
        <v>216</v>
      </c>
      <c r="CO26" t="s">
        <v>211</v>
      </c>
      <c r="CP26" t="s">
        <v>209</v>
      </c>
      <c r="CQ26" t="s">
        <v>582</v>
      </c>
      <c r="CR26" t="s">
        <v>644</v>
      </c>
      <c r="CS26" t="s">
        <v>201</v>
      </c>
      <c r="CT26" t="s">
        <v>183</v>
      </c>
      <c r="CU26" t="s">
        <v>301</v>
      </c>
      <c r="CV26" t="s">
        <v>201</v>
      </c>
      <c r="CW26" t="s">
        <v>180</v>
      </c>
      <c r="CX26" t="s">
        <v>669</v>
      </c>
      <c r="CY26" t="s">
        <v>201</v>
      </c>
      <c r="CZ26" t="s">
        <v>600</v>
      </c>
      <c r="DA26" t="s">
        <v>214</v>
      </c>
      <c r="DB26" t="s">
        <v>205</v>
      </c>
      <c r="DC26" t="s">
        <v>281</v>
      </c>
      <c r="DD26" t="s">
        <v>213</v>
      </c>
      <c r="DE26" t="s">
        <v>183</v>
      </c>
      <c r="DF26" t="s">
        <v>281</v>
      </c>
      <c r="DG26" t="s">
        <v>204</v>
      </c>
      <c r="DH26" t="s">
        <v>600</v>
      </c>
      <c r="FH26" t="s">
        <v>931</v>
      </c>
    </row>
    <row r="27" spans="1:164" x14ac:dyDescent="0.25">
      <c r="A27">
        <v>4</v>
      </c>
      <c r="B27" t="s">
        <v>164</v>
      </c>
      <c r="C27">
        <v>46</v>
      </c>
      <c r="D27">
        <v>4601</v>
      </c>
      <c r="E27">
        <v>874738182</v>
      </c>
      <c r="F27" t="s">
        <v>165</v>
      </c>
      <c r="G27" t="s">
        <v>166</v>
      </c>
      <c r="H27" t="s">
        <v>167</v>
      </c>
      <c r="I27" t="s">
        <v>932</v>
      </c>
      <c r="J27" t="s">
        <v>1502</v>
      </c>
      <c r="K27" t="s">
        <v>939</v>
      </c>
      <c r="L27" t="s">
        <v>604</v>
      </c>
      <c r="M27" t="s">
        <v>604</v>
      </c>
      <c r="N27" t="s">
        <v>731</v>
      </c>
      <c r="O27" t="s">
        <v>604</v>
      </c>
      <c r="P27" t="s">
        <v>933</v>
      </c>
      <c r="Q27" t="s">
        <v>655</v>
      </c>
      <c r="R27" t="s">
        <v>604</v>
      </c>
      <c r="T27" t="s">
        <v>885</v>
      </c>
      <c r="U27" t="s">
        <v>655</v>
      </c>
      <c r="V27" t="s">
        <v>604</v>
      </c>
      <c r="X27" t="s">
        <v>892</v>
      </c>
      <c r="Y27" t="s">
        <v>655</v>
      </c>
      <c r="Z27" t="s">
        <v>604</v>
      </c>
      <c r="AB27" t="s">
        <v>934</v>
      </c>
      <c r="AC27" t="s">
        <v>508</v>
      </c>
      <c r="AD27" t="s">
        <v>604</v>
      </c>
      <c r="AF27" t="s">
        <v>857</v>
      </c>
      <c r="AG27" t="s">
        <v>502</v>
      </c>
      <c r="AH27" t="s">
        <v>508</v>
      </c>
      <c r="AJ27" t="s">
        <v>170</v>
      </c>
      <c r="AK27" t="s">
        <v>903</v>
      </c>
      <c r="AL27" t="s">
        <v>744</v>
      </c>
      <c r="AM27" t="s">
        <v>560</v>
      </c>
      <c r="AN27" t="s">
        <v>501</v>
      </c>
      <c r="AO27" t="s">
        <v>715</v>
      </c>
      <c r="AP27" t="s">
        <v>935</v>
      </c>
      <c r="AQ27" t="s">
        <v>566</v>
      </c>
      <c r="AR27" t="s">
        <v>476</v>
      </c>
      <c r="AS27" t="s">
        <v>936</v>
      </c>
      <c r="AT27" t="s">
        <v>744</v>
      </c>
      <c r="AU27" t="s">
        <v>560</v>
      </c>
      <c r="AV27" t="s">
        <v>480</v>
      </c>
      <c r="AW27" t="s">
        <v>742</v>
      </c>
      <c r="AX27" t="s">
        <v>937</v>
      </c>
      <c r="AY27" t="s">
        <v>669</v>
      </c>
      <c r="AZ27" t="s">
        <v>581</v>
      </c>
      <c r="BA27" t="s">
        <v>774</v>
      </c>
      <c r="BB27" t="s">
        <v>938</v>
      </c>
      <c r="BC27" t="s">
        <v>202</v>
      </c>
      <c r="BD27">
        <v>1683</v>
      </c>
      <c r="BE27">
        <v>1562</v>
      </c>
      <c r="BF27">
        <v>1580</v>
      </c>
      <c r="BG27">
        <v>1659</v>
      </c>
      <c r="BH27">
        <v>1621</v>
      </c>
      <c r="BY27" t="s">
        <v>281</v>
      </c>
      <c r="BZ27" t="s">
        <v>630</v>
      </c>
      <c r="CA27" t="s">
        <v>173</v>
      </c>
      <c r="CB27" t="s">
        <v>281</v>
      </c>
      <c r="CC27" t="s">
        <v>629</v>
      </c>
      <c r="CD27" t="s">
        <v>173</v>
      </c>
      <c r="CE27" t="s">
        <v>600</v>
      </c>
      <c r="CF27" t="s">
        <v>206</v>
      </c>
      <c r="CG27" t="s">
        <v>529</v>
      </c>
      <c r="CH27" t="s">
        <v>183</v>
      </c>
      <c r="CI27" t="s">
        <v>211</v>
      </c>
      <c r="CJ27" t="s">
        <v>512</v>
      </c>
      <c r="CK27" t="s">
        <v>600</v>
      </c>
      <c r="CL27" t="s">
        <v>486</v>
      </c>
      <c r="CM27" t="s">
        <v>512</v>
      </c>
      <c r="CN27" t="s">
        <v>724</v>
      </c>
      <c r="CO27" t="s">
        <v>557</v>
      </c>
      <c r="CP27" t="s">
        <v>512</v>
      </c>
      <c r="CQ27" t="s">
        <v>174</v>
      </c>
      <c r="CR27" t="s">
        <v>630</v>
      </c>
      <c r="CS27" t="s">
        <v>182</v>
      </c>
      <c r="CT27" t="s">
        <v>201</v>
      </c>
      <c r="CU27" t="s">
        <v>204</v>
      </c>
      <c r="CV27" t="s">
        <v>182</v>
      </c>
      <c r="CW27" t="s">
        <v>496</v>
      </c>
      <c r="CX27" t="s">
        <v>211</v>
      </c>
      <c r="CY27" t="s">
        <v>519</v>
      </c>
      <c r="CZ27" t="s">
        <v>183</v>
      </c>
      <c r="DA27" t="s">
        <v>208</v>
      </c>
      <c r="DB27" t="s">
        <v>529</v>
      </c>
      <c r="DC27" t="s">
        <v>205</v>
      </c>
      <c r="DD27" t="s">
        <v>211</v>
      </c>
      <c r="DE27" t="s">
        <v>529</v>
      </c>
      <c r="DF27" t="s">
        <v>726</v>
      </c>
      <c r="DG27" t="s">
        <v>494</v>
      </c>
      <c r="DH27" t="s">
        <v>529</v>
      </c>
      <c r="FH27" t="s">
        <v>939</v>
      </c>
    </row>
    <row r="28" spans="1:164" x14ac:dyDescent="0.25">
      <c r="A28">
        <v>4</v>
      </c>
      <c r="B28" t="s">
        <v>164</v>
      </c>
      <c r="C28">
        <v>46</v>
      </c>
      <c r="D28">
        <v>4601</v>
      </c>
      <c r="E28">
        <v>974738368</v>
      </c>
      <c r="F28" t="s">
        <v>165</v>
      </c>
      <c r="G28" t="s">
        <v>166</v>
      </c>
      <c r="H28" t="s">
        <v>167</v>
      </c>
      <c r="I28" t="s">
        <v>940</v>
      </c>
      <c r="J28" t="s">
        <v>1503</v>
      </c>
      <c r="K28" t="s">
        <v>955</v>
      </c>
      <c r="L28" t="s">
        <v>604</v>
      </c>
      <c r="M28" t="s">
        <v>604</v>
      </c>
      <c r="N28" t="s">
        <v>604</v>
      </c>
      <c r="O28" t="s">
        <v>731</v>
      </c>
      <c r="P28" t="s">
        <v>941</v>
      </c>
      <c r="Q28" t="s">
        <v>529</v>
      </c>
      <c r="R28" t="s">
        <v>593</v>
      </c>
      <c r="T28" t="s">
        <v>942</v>
      </c>
      <c r="U28" t="s">
        <v>474</v>
      </c>
      <c r="V28" t="s">
        <v>519</v>
      </c>
      <c r="X28" t="s">
        <v>943</v>
      </c>
      <c r="Y28" t="s">
        <v>182</v>
      </c>
      <c r="Z28" t="s">
        <v>171</v>
      </c>
      <c r="AB28" t="s">
        <v>872</v>
      </c>
      <c r="AC28" t="s">
        <v>179</v>
      </c>
      <c r="AD28" t="s">
        <v>210</v>
      </c>
      <c r="AF28" t="s">
        <v>944</v>
      </c>
      <c r="AG28" t="s">
        <v>171</v>
      </c>
      <c r="AH28" t="s">
        <v>519</v>
      </c>
      <c r="AJ28" t="s">
        <v>525</v>
      </c>
      <c r="AK28" t="s">
        <v>945</v>
      </c>
      <c r="AL28" t="s">
        <v>848</v>
      </c>
      <c r="AM28" t="s">
        <v>632</v>
      </c>
      <c r="AN28" t="s">
        <v>212</v>
      </c>
      <c r="AO28" t="s">
        <v>849</v>
      </c>
      <c r="AP28" t="s">
        <v>946</v>
      </c>
      <c r="AQ28" t="s">
        <v>623</v>
      </c>
      <c r="AR28" t="s">
        <v>216</v>
      </c>
      <c r="AS28" t="s">
        <v>812</v>
      </c>
      <c r="AT28" t="s">
        <v>947</v>
      </c>
      <c r="AU28" t="s">
        <v>190</v>
      </c>
      <c r="AV28" t="s">
        <v>174</v>
      </c>
      <c r="AW28" t="s">
        <v>948</v>
      </c>
      <c r="AX28" t="s">
        <v>949</v>
      </c>
      <c r="AY28" t="s">
        <v>266</v>
      </c>
      <c r="AZ28" t="s">
        <v>217</v>
      </c>
      <c r="BA28" t="s">
        <v>435</v>
      </c>
      <c r="BB28" t="s">
        <v>828</v>
      </c>
      <c r="BC28" t="s">
        <v>825</v>
      </c>
      <c r="BD28">
        <v>1715</v>
      </c>
      <c r="BE28">
        <v>1805</v>
      </c>
      <c r="BF28">
        <v>1729</v>
      </c>
      <c r="BG28">
        <v>1892</v>
      </c>
      <c r="BH28">
        <v>1845</v>
      </c>
      <c r="BI28" t="s">
        <v>349</v>
      </c>
      <c r="BJ28" t="s">
        <v>350</v>
      </c>
      <c r="BK28" t="s">
        <v>550</v>
      </c>
      <c r="BL28" t="s">
        <v>580</v>
      </c>
      <c r="BM28" t="s">
        <v>206</v>
      </c>
      <c r="BN28" t="s">
        <v>508</v>
      </c>
      <c r="BO28" t="s">
        <v>721</v>
      </c>
      <c r="BP28" t="s">
        <v>502</v>
      </c>
      <c r="BQ28" t="s">
        <v>604</v>
      </c>
      <c r="BR28" t="s">
        <v>604</v>
      </c>
      <c r="BS28" t="s">
        <v>435</v>
      </c>
      <c r="BT28" t="s">
        <v>819</v>
      </c>
      <c r="BU28" t="s">
        <v>675</v>
      </c>
      <c r="BV28" t="s">
        <v>569</v>
      </c>
      <c r="BW28" t="s">
        <v>545</v>
      </c>
      <c r="BX28" t="s">
        <v>681</v>
      </c>
      <c r="BY28" t="s">
        <v>207</v>
      </c>
      <c r="BZ28" t="s">
        <v>950</v>
      </c>
      <c r="CA28" t="s">
        <v>502</v>
      </c>
      <c r="CB28" t="s">
        <v>201</v>
      </c>
      <c r="CC28" t="s">
        <v>186</v>
      </c>
      <c r="CD28" t="s">
        <v>504</v>
      </c>
      <c r="CE28" t="s">
        <v>281</v>
      </c>
      <c r="CF28" t="s">
        <v>637</v>
      </c>
      <c r="CG28" t="s">
        <v>505</v>
      </c>
      <c r="CH28" t="s">
        <v>210</v>
      </c>
      <c r="CI28" t="s">
        <v>186</v>
      </c>
      <c r="CJ28" t="s">
        <v>474</v>
      </c>
      <c r="CK28" t="s">
        <v>216</v>
      </c>
      <c r="CL28" t="s">
        <v>206</v>
      </c>
      <c r="CM28" t="s">
        <v>533</v>
      </c>
      <c r="CN28" t="s">
        <v>525</v>
      </c>
      <c r="CO28" t="s">
        <v>208</v>
      </c>
      <c r="CP28" t="s">
        <v>533</v>
      </c>
      <c r="CQ28" t="s">
        <v>496</v>
      </c>
      <c r="CR28" t="s">
        <v>351</v>
      </c>
      <c r="CS28" t="s">
        <v>512</v>
      </c>
      <c r="CT28" t="s">
        <v>201</v>
      </c>
      <c r="CU28" t="s">
        <v>351</v>
      </c>
      <c r="CV28" t="s">
        <v>474</v>
      </c>
      <c r="CW28" t="s">
        <v>183</v>
      </c>
      <c r="CX28" t="s">
        <v>598</v>
      </c>
      <c r="CY28" t="s">
        <v>474</v>
      </c>
      <c r="CZ28" t="s">
        <v>210</v>
      </c>
      <c r="DA28" t="s">
        <v>550</v>
      </c>
      <c r="DB28" t="s">
        <v>512</v>
      </c>
      <c r="DC28" t="s">
        <v>215</v>
      </c>
      <c r="DD28" t="s">
        <v>186</v>
      </c>
      <c r="DE28" t="s">
        <v>533</v>
      </c>
      <c r="DF28" t="s">
        <v>210</v>
      </c>
      <c r="DG28" t="s">
        <v>557</v>
      </c>
      <c r="DH28" t="s">
        <v>512</v>
      </c>
      <c r="DI28" t="s">
        <v>281</v>
      </c>
      <c r="DJ28" t="s">
        <v>560</v>
      </c>
      <c r="DK28" t="s">
        <v>951</v>
      </c>
      <c r="DL28" t="s">
        <v>281</v>
      </c>
      <c r="DM28" t="s">
        <v>558</v>
      </c>
      <c r="DN28" t="s">
        <v>951</v>
      </c>
      <c r="DO28" t="s">
        <v>207</v>
      </c>
      <c r="DP28" t="s">
        <v>560</v>
      </c>
      <c r="DQ28" t="s">
        <v>951</v>
      </c>
      <c r="DR28" t="s">
        <v>174</v>
      </c>
      <c r="DS28" t="s">
        <v>560</v>
      </c>
      <c r="DT28" t="s">
        <v>559</v>
      </c>
      <c r="DU28" t="s">
        <v>216</v>
      </c>
      <c r="DV28" t="s">
        <v>560</v>
      </c>
      <c r="DW28" t="s">
        <v>559</v>
      </c>
      <c r="DX28" t="s">
        <v>177</v>
      </c>
      <c r="DY28" t="s">
        <v>558</v>
      </c>
      <c r="DZ28" t="s">
        <v>559</v>
      </c>
      <c r="EA28" t="s">
        <v>177</v>
      </c>
      <c r="EB28" t="s">
        <v>560</v>
      </c>
      <c r="EC28" t="s">
        <v>860</v>
      </c>
      <c r="ED28" t="s">
        <v>216</v>
      </c>
      <c r="EE28" t="s">
        <v>558</v>
      </c>
      <c r="EF28" t="s">
        <v>952</v>
      </c>
      <c r="EG28" t="s">
        <v>210</v>
      </c>
      <c r="EH28" t="s">
        <v>558</v>
      </c>
      <c r="EI28" t="s">
        <v>952</v>
      </c>
      <c r="EJ28" t="s">
        <v>174</v>
      </c>
      <c r="EK28" t="s">
        <v>495</v>
      </c>
      <c r="EL28" t="s">
        <v>692</v>
      </c>
      <c r="EM28" t="s">
        <v>177</v>
      </c>
      <c r="EN28" t="s">
        <v>495</v>
      </c>
      <c r="EO28" t="s">
        <v>692</v>
      </c>
      <c r="EP28" t="s">
        <v>281</v>
      </c>
      <c r="EQ28" t="s">
        <v>495</v>
      </c>
      <c r="ER28" t="s">
        <v>692</v>
      </c>
      <c r="ES28" t="s">
        <v>301</v>
      </c>
      <c r="ET28" t="s">
        <v>211</v>
      </c>
      <c r="EU28" t="s">
        <v>674</v>
      </c>
      <c r="EV28" t="s">
        <v>300</v>
      </c>
      <c r="EW28" t="s">
        <v>953</v>
      </c>
      <c r="EX28" t="s">
        <v>954</v>
      </c>
      <c r="EY28">
        <v>120</v>
      </c>
      <c r="EZ28">
        <v>70</v>
      </c>
      <c r="FA28" t="s">
        <v>569</v>
      </c>
      <c r="FB28" t="s">
        <v>388</v>
      </c>
      <c r="FC28" t="s">
        <v>388</v>
      </c>
      <c r="FD28" t="s">
        <v>751</v>
      </c>
      <c r="FE28">
        <v>75</v>
      </c>
      <c r="FF28">
        <v>55</v>
      </c>
      <c r="FG28" t="s">
        <v>952</v>
      </c>
      <c r="FH28" t="s">
        <v>955</v>
      </c>
    </row>
    <row r="29" spans="1:164" x14ac:dyDescent="0.25">
      <c r="A29">
        <v>4</v>
      </c>
      <c r="B29" t="s">
        <v>164</v>
      </c>
      <c r="C29">
        <v>46</v>
      </c>
      <c r="D29">
        <v>4601</v>
      </c>
      <c r="E29">
        <v>874738522</v>
      </c>
      <c r="F29" t="s">
        <v>165</v>
      </c>
      <c r="G29" t="s">
        <v>166</v>
      </c>
      <c r="H29" t="s">
        <v>167</v>
      </c>
      <c r="I29" t="s">
        <v>957</v>
      </c>
      <c r="J29" t="s">
        <v>1504</v>
      </c>
      <c r="K29" t="s">
        <v>974</v>
      </c>
      <c r="P29" t="s">
        <v>924</v>
      </c>
      <c r="Q29" t="s">
        <v>191</v>
      </c>
      <c r="R29" t="s">
        <v>529</v>
      </c>
      <c r="T29" t="s">
        <v>749</v>
      </c>
      <c r="U29" t="s">
        <v>612</v>
      </c>
      <c r="V29" t="s">
        <v>474</v>
      </c>
      <c r="X29" t="s">
        <v>958</v>
      </c>
      <c r="Y29" t="s">
        <v>612</v>
      </c>
      <c r="Z29" t="s">
        <v>217</v>
      </c>
      <c r="AB29" t="s">
        <v>959</v>
      </c>
      <c r="AC29" t="s">
        <v>179</v>
      </c>
      <c r="AD29" t="s">
        <v>612</v>
      </c>
      <c r="AF29" t="s">
        <v>960</v>
      </c>
      <c r="AG29" t="s">
        <v>195</v>
      </c>
      <c r="AH29" t="s">
        <v>595</v>
      </c>
      <c r="AJ29" t="s">
        <v>216</v>
      </c>
      <c r="AK29" t="s">
        <v>830</v>
      </c>
      <c r="AL29" t="s">
        <v>946</v>
      </c>
      <c r="AM29" t="s">
        <v>306</v>
      </c>
      <c r="AN29" t="s">
        <v>525</v>
      </c>
      <c r="AO29" t="s">
        <v>947</v>
      </c>
      <c r="AP29" t="s">
        <v>850</v>
      </c>
      <c r="AQ29" t="s">
        <v>950</v>
      </c>
      <c r="AR29" t="s">
        <v>207</v>
      </c>
      <c r="AS29" t="s">
        <v>846</v>
      </c>
      <c r="AT29" t="s">
        <v>961</v>
      </c>
      <c r="AU29" t="s">
        <v>389</v>
      </c>
      <c r="AV29" t="s">
        <v>207</v>
      </c>
      <c r="AW29" t="s">
        <v>846</v>
      </c>
      <c r="AX29" t="s">
        <v>962</v>
      </c>
      <c r="AY29" t="s">
        <v>542</v>
      </c>
      <c r="AZ29" t="s">
        <v>210</v>
      </c>
      <c r="BA29" t="s">
        <v>963</v>
      </c>
      <c r="BB29" t="s">
        <v>964</v>
      </c>
      <c r="BC29" t="s">
        <v>965</v>
      </c>
      <c r="BD29">
        <v>1935</v>
      </c>
      <c r="BE29">
        <v>1727</v>
      </c>
      <c r="BF29">
        <v>1995</v>
      </c>
      <c r="BG29">
        <v>1901</v>
      </c>
      <c r="BH29">
        <v>1922</v>
      </c>
      <c r="BI29" t="s">
        <v>349</v>
      </c>
      <c r="BJ29" t="s">
        <v>350</v>
      </c>
      <c r="BK29" t="s">
        <v>637</v>
      </c>
      <c r="BL29" t="s">
        <v>530</v>
      </c>
      <c r="BM29" t="s">
        <v>266</v>
      </c>
      <c r="BN29" t="s">
        <v>502</v>
      </c>
      <c r="BO29" t="s">
        <v>721</v>
      </c>
      <c r="BP29" t="s">
        <v>170</v>
      </c>
      <c r="BQ29" t="s">
        <v>522</v>
      </c>
      <c r="BR29" t="s">
        <v>505</v>
      </c>
      <c r="BS29" t="s">
        <v>948</v>
      </c>
      <c r="BT29" t="s">
        <v>569</v>
      </c>
      <c r="BU29" t="s">
        <v>966</v>
      </c>
      <c r="BV29" t="s">
        <v>549</v>
      </c>
      <c r="BW29" t="s">
        <v>541</v>
      </c>
      <c r="BX29" t="s">
        <v>674</v>
      </c>
      <c r="DI29" t="s">
        <v>174</v>
      </c>
      <c r="DJ29" t="s">
        <v>669</v>
      </c>
      <c r="DK29" t="s">
        <v>967</v>
      </c>
      <c r="DL29" t="s">
        <v>205</v>
      </c>
      <c r="DM29" t="s">
        <v>669</v>
      </c>
      <c r="DN29" t="s">
        <v>956</v>
      </c>
      <c r="DO29" t="s">
        <v>183</v>
      </c>
      <c r="DP29" t="s">
        <v>566</v>
      </c>
      <c r="DQ29" t="s">
        <v>567</v>
      </c>
      <c r="DR29" t="s">
        <v>201</v>
      </c>
      <c r="DS29" t="s">
        <v>562</v>
      </c>
      <c r="DT29" t="s">
        <v>861</v>
      </c>
      <c r="DU29" t="s">
        <v>174</v>
      </c>
      <c r="DV29" t="s">
        <v>560</v>
      </c>
      <c r="DW29" t="s">
        <v>968</v>
      </c>
      <c r="DX29" t="s">
        <v>174</v>
      </c>
      <c r="DY29" t="s">
        <v>669</v>
      </c>
      <c r="DZ29" t="s">
        <v>969</v>
      </c>
      <c r="EA29" t="s">
        <v>201</v>
      </c>
      <c r="EB29" t="s">
        <v>560</v>
      </c>
      <c r="EC29" t="s">
        <v>970</v>
      </c>
      <c r="ED29" t="s">
        <v>207</v>
      </c>
      <c r="EE29" t="s">
        <v>558</v>
      </c>
      <c r="EF29" t="s">
        <v>971</v>
      </c>
      <c r="EG29" t="s">
        <v>201</v>
      </c>
      <c r="EH29" t="s">
        <v>558</v>
      </c>
      <c r="EI29" t="s">
        <v>559</v>
      </c>
      <c r="EJ29" t="s">
        <v>205</v>
      </c>
      <c r="EK29" t="s">
        <v>562</v>
      </c>
      <c r="EL29" t="s">
        <v>855</v>
      </c>
      <c r="EM29" t="s">
        <v>174</v>
      </c>
      <c r="EN29" t="s">
        <v>560</v>
      </c>
      <c r="EO29" t="s">
        <v>563</v>
      </c>
      <c r="EP29" t="s">
        <v>201</v>
      </c>
      <c r="EQ29" t="s">
        <v>560</v>
      </c>
      <c r="ER29" t="s">
        <v>563</v>
      </c>
      <c r="ES29" t="s">
        <v>186</v>
      </c>
      <c r="ET29" t="s">
        <v>623</v>
      </c>
      <c r="EU29" t="s">
        <v>548</v>
      </c>
      <c r="EV29" t="s">
        <v>388</v>
      </c>
      <c r="EW29" t="s">
        <v>306</v>
      </c>
      <c r="EX29" t="s">
        <v>972</v>
      </c>
      <c r="EY29">
        <v>100</v>
      </c>
      <c r="EZ29">
        <v>90</v>
      </c>
      <c r="FA29" t="s">
        <v>861</v>
      </c>
      <c r="FB29" t="s">
        <v>605</v>
      </c>
      <c r="FC29" t="s">
        <v>574</v>
      </c>
      <c r="FD29" t="s">
        <v>973</v>
      </c>
      <c r="FE29">
        <v>110</v>
      </c>
      <c r="FF29">
        <v>80</v>
      </c>
      <c r="FG29" t="s">
        <v>549</v>
      </c>
      <c r="FH29" t="s">
        <v>974</v>
      </c>
    </row>
    <row r="30" spans="1:164" x14ac:dyDescent="0.25">
      <c r="A30">
        <v>4</v>
      </c>
      <c r="B30" t="s">
        <v>164</v>
      </c>
      <c r="C30">
        <v>46</v>
      </c>
      <c r="D30">
        <v>4601</v>
      </c>
      <c r="E30">
        <v>974738023</v>
      </c>
      <c r="F30" t="s">
        <v>165</v>
      </c>
      <c r="G30" t="s">
        <v>166</v>
      </c>
      <c r="H30" t="s">
        <v>167</v>
      </c>
      <c r="I30" t="s">
        <v>976</v>
      </c>
      <c r="J30" t="s">
        <v>1505</v>
      </c>
      <c r="K30" t="s">
        <v>987</v>
      </c>
      <c r="L30" t="s">
        <v>211</v>
      </c>
      <c r="M30" t="s">
        <v>731</v>
      </c>
      <c r="N30" t="s">
        <v>731</v>
      </c>
      <c r="O30" t="s">
        <v>604</v>
      </c>
      <c r="P30" t="s">
        <v>977</v>
      </c>
      <c r="Q30" t="s">
        <v>173</v>
      </c>
      <c r="R30" t="s">
        <v>473</v>
      </c>
      <c r="T30" t="s">
        <v>978</v>
      </c>
      <c r="U30" t="s">
        <v>480</v>
      </c>
      <c r="V30" t="s">
        <v>581</v>
      </c>
      <c r="X30" t="s">
        <v>979</v>
      </c>
      <c r="Y30" t="s">
        <v>473</v>
      </c>
      <c r="Z30" t="s">
        <v>476</v>
      </c>
      <c r="AB30" t="s">
        <v>980</v>
      </c>
      <c r="AC30" t="s">
        <v>173</v>
      </c>
      <c r="AD30" t="s">
        <v>504</v>
      </c>
      <c r="AF30" t="s">
        <v>981</v>
      </c>
      <c r="AG30" t="s">
        <v>608</v>
      </c>
      <c r="AH30" t="s">
        <v>481</v>
      </c>
      <c r="AJ30" t="s">
        <v>533</v>
      </c>
      <c r="AK30" t="s">
        <v>982</v>
      </c>
      <c r="AL30" t="s">
        <v>516</v>
      </c>
      <c r="AM30" t="s">
        <v>495</v>
      </c>
      <c r="AN30" t="s">
        <v>474</v>
      </c>
      <c r="AO30" t="s">
        <v>983</v>
      </c>
      <c r="AP30" t="s">
        <v>657</v>
      </c>
      <c r="AQ30" t="s">
        <v>214</v>
      </c>
      <c r="AR30" t="s">
        <v>474</v>
      </c>
      <c r="AS30" t="s">
        <v>622</v>
      </c>
      <c r="AT30" t="s">
        <v>984</v>
      </c>
      <c r="AU30" t="s">
        <v>211</v>
      </c>
      <c r="AV30" t="s">
        <v>519</v>
      </c>
      <c r="AW30" t="s">
        <v>514</v>
      </c>
      <c r="AX30" t="s">
        <v>985</v>
      </c>
      <c r="AY30" t="s">
        <v>721</v>
      </c>
      <c r="AZ30" t="s">
        <v>474</v>
      </c>
      <c r="BA30" t="s">
        <v>986</v>
      </c>
      <c r="BB30" t="s">
        <v>717</v>
      </c>
      <c r="BC30" t="s">
        <v>206</v>
      </c>
      <c r="BD30">
        <v>1659</v>
      </c>
      <c r="BE30">
        <v>1680</v>
      </c>
      <c r="BF30">
        <v>1559</v>
      </c>
      <c r="BG30">
        <v>1686</v>
      </c>
      <c r="BH30">
        <v>1667</v>
      </c>
      <c r="BY30" t="s">
        <v>215</v>
      </c>
      <c r="BZ30" t="s">
        <v>557</v>
      </c>
      <c r="CA30" t="s">
        <v>217</v>
      </c>
      <c r="CB30" t="s">
        <v>210</v>
      </c>
      <c r="CC30" t="s">
        <v>557</v>
      </c>
      <c r="CD30" t="s">
        <v>215</v>
      </c>
      <c r="CE30" t="s">
        <v>216</v>
      </c>
      <c r="CF30" t="s">
        <v>211</v>
      </c>
      <c r="CG30" t="s">
        <v>217</v>
      </c>
      <c r="CH30" t="s">
        <v>215</v>
      </c>
      <c r="CI30" t="s">
        <v>629</v>
      </c>
      <c r="CJ30" t="s">
        <v>195</v>
      </c>
      <c r="CK30" t="s">
        <v>216</v>
      </c>
      <c r="CL30" t="s">
        <v>522</v>
      </c>
      <c r="CM30" t="s">
        <v>195</v>
      </c>
      <c r="CN30" t="s">
        <v>210</v>
      </c>
      <c r="CO30" t="s">
        <v>204</v>
      </c>
      <c r="CP30" t="s">
        <v>187</v>
      </c>
      <c r="CQ30" t="s">
        <v>216</v>
      </c>
      <c r="CR30" t="s">
        <v>213</v>
      </c>
      <c r="CS30" t="s">
        <v>523</v>
      </c>
      <c r="CT30" t="s">
        <v>177</v>
      </c>
      <c r="CU30" t="s">
        <v>204</v>
      </c>
      <c r="CV30" t="s">
        <v>523</v>
      </c>
      <c r="CW30" t="s">
        <v>177</v>
      </c>
      <c r="CX30" t="s">
        <v>204</v>
      </c>
      <c r="CY30" t="s">
        <v>523</v>
      </c>
      <c r="CZ30" t="s">
        <v>217</v>
      </c>
      <c r="DA30" t="s">
        <v>214</v>
      </c>
      <c r="DB30" t="s">
        <v>203</v>
      </c>
      <c r="DC30" t="s">
        <v>217</v>
      </c>
      <c r="DD30" t="s">
        <v>495</v>
      </c>
      <c r="DE30" t="s">
        <v>203</v>
      </c>
      <c r="DF30" t="s">
        <v>217</v>
      </c>
      <c r="DG30" t="s">
        <v>208</v>
      </c>
      <c r="DH30" t="s">
        <v>203</v>
      </c>
      <c r="FH30" t="s">
        <v>987</v>
      </c>
    </row>
    <row r="31" spans="1:164" x14ac:dyDescent="0.25">
      <c r="A31">
        <v>4</v>
      </c>
      <c r="B31" t="s">
        <v>164</v>
      </c>
      <c r="C31">
        <v>46</v>
      </c>
      <c r="D31">
        <v>4601</v>
      </c>
      <c r="E31">
        <v>974187442</v>
      </c>
      <c r="F31" t="s">
        <v>165</v>
      </c>
      <c r="G31" t="s">
        <v>166</v>
      </c>
      <c r="H31" t="s">
        <v>167</v>
      </c>
      <c r="I31" t="s">
        <v>988</v>
      </c>
      <c r="J31" t="s">
        <v>1506</v>
      </c>
      <c r="K31" t="s">
        <v>993</v>
      </c>
      <c r="P31" t="s">
        <v>576</v>
      </c>
      <c r="Q31" t="s">
        <v>556</v>
      </c>
      <c r="R31" t="s">
        <v>556</v>
      </c>
      <c r="T31" t="s">
        <v>889</v>
      </c>
      <c r="U31" t="s">
        <v>556</v>
      </c>
      <c r="V31" t="s">
        <v>556</v>
      </c>
      <c r="X31" t="s">
        <v>710</v>
      </c>
      <c r="Y31" t="s">
        <v>556</v>
      </c>
      <c r="Z31" t="s">
        <v>556</v>
      </c>
      <c r="AB31" t="s">
        <v>890</v>
      </c>
      <c r="AC31" t="s">
        <v>556</v>
      </c>
      <c r="AD31" t="s">
        <v>556</v>
      </c>
      <c r="AF31" t="s">
        <v>886</v>
      </c>
      <c r="AG31" t="s">
        <v>556</v>
      </c>
      <c r="AH31" t="s">
        <v>556</v>
      </c>
      <c r="AJ31" t="s">
        <v>476</v>
      </c>
      <c r="AK31" t="s">
        <v>715</v>
      </c>
      <c r="AL31" t="s">
        <v>989</v>
      </c>
      <c r="AM31" t="s">
        <v>712</v>
      </c>
      <c r="AN31" t="s">
        <v>533</v>
      </c>
      <c r="AO31" t="s">
        <v>985</v>
      </c>
      <c r="AP31" t="s">
        <v>903</v>
      </c>
      <c r="AQ31" t="s">
        <v>990</v>
      </c>
      <c r="AR31" t="s">
        <v>195</v>
      </c>
      <c r="AS31" t="s">
        <v>991</v>
      </c>
      <c r="AT31" t="s">
        <v>992</v>
      </c>
      <c r="AU31" t="s">
        <v>990</v>
      </c>
      <c r="AV31" t="s">
        <v>489</v>
      </c>
      <c r="AW31" t="s">
        <v>188</v>
      </c>
      <c r="AX31" t="s">
        <v>667</v>
      </c>
      <c r="AY31" t="s">
        <v>558</v>
      </c>
      <c r="AZ31" t="s">
        <v>519</v>
      </c>
      <c r="BA31" t="s">
        <v>756</v>
      </c>
      <c r="BB31" t="s">
        <v>782</v>
      </c>
      <c r="BC31" t="s">
        <v>301</v>
      </c>
      <c r="BD31">
        <v>1591</v>
      </c>
      <c r="BE31">
        <v>1432</v>
      </c>
      <c r="BF31">
        <v>1054</v>
      </c>
      <c r="BG31">
        <v>1098</v>
      </c>
      <c r="BH31">
        <v>1087</v>
      </c>
      <c r="BY31" t="s">
        <v>180</v>
      </c>
      <c r="BZ31" t="s">
        <v>598</v>
      </c>
      <c r="CA31" t="s">
        <v>170</v>
      </c>
      <c r="CB31" t="s">
        <v>281</v>
      </c>
      <c r="CC31" t="s">
        <v>827</v>
      </c>
      <c r="CD31" t="s">
        <v>608</v>
      </c>
      <c r="CE31" t="s">
        <v>496</v>
      </c>
      <c r="CF31" t="s">
        <v>631</v>
      </c>
      <c r="CG31" t="s">
        <v>501</v>
      </c>
      <c r="CH31" t="s">
        <v>727</v>
      </c>
      <c r="CI31" t="s">
        <v>208</v>
      </c>
      <c r="CJ31" t="s">
        <v>173</v>
      </c>
      <c r="CK31" t="s">
        <v>201</v>
      </c>
      <c r="CL31" t="s">
        <v>637</v>
      </c>
      <c r="CM31" t="s">
        <v>505</v>
      </c>
      <c r="CN31" t="s">
        <v>584</v>
      </c>
      <c r="CO31" t="s">
        <v>206</v>
      </c>
      <c r="CP31" t="s">
        <v>173</v>
      </c>
      <c r="CQ31" t="s">
        <v>586</v>
      </c>
      <c r="CR31" t="s">
        <v>486</v>
      </c>
      <c r="CS31" t="s">
        <v>504</v>
      </c>
      <c r="CT31" t="s">
        <v>604</v>
      </c>
      <c r="CU31" t="s">
        <v>604</v>
      </c>
      <c r="CV31" t="s">
        <v>604</v>
      </c>
      <c r="CW31" t="s">
        <v>600</v>
      </c>
      <c r="CX31" t="s">
        <v>389</v>
      </c>
      <c r="CY31" t="s">
        <v>505</v>
      </c>
      <c r="CZ31" t="s">
        <v>586</v>
      </c>
      <c r="DA31" t="s">
        <v>633</v>
      </c>
      <c r="DB31" t="s">
        <v>580</v>
      </c>
      <c r="DC31" t="s">
        <v>281</v>
      </c>
      <c r="DD31" t="s">
        <v>825</v>
      </c>
      <c r="DE31" t="s">
        <v>505</v>
      </c>
      <c r="DF31" t="s">
        <v>183</v>
      </c>
      <c r="DG31" t="s">
        <v>598</v>
      </c>
      <c r="DH31" t="s">
        <v>580</v>
      </c>
      <c r="DI31" t="s">
        <v>582</v>
      </c>
      <c r="DJ31" t="s">
        <v>629</v>
      </c>
      <c r="DK31" t="s">
        <v>580</v>
      </c>
      <c r="DL31" t="s">
        <v>201</v>
      </c>
      <c r="DM31" t="s">
        <v>198</v>
      </c>
      <c r="DN31" t="s">
        <v>505</v>
      </c>
      <c r="DO31" t="s">
        <v>496</v>
      </c>
      <c r="DP31" t="s">
        <v>721</v>
      </c>
      <c r="DQ31" t="s">
        <v>581</v>
      </c>
      <c r="DR31" t="s">
        <v>586</v>
      </c>
      <c r="DS31" t="s">
        <v>557</v>
      </c>
      <c r="DT31" t="s">
        <v>176</v>
      </c>
      <c r="DU31" t="s">
        <v>281</v>
      </c>
      <c r="DV31" t="s">
        <v>721</v>
      </c>
      <c r="DW31" t="s">
        <v>612</v>
      </c>
      <c r="DX31" t="s">
        <v>600</v>
      </c>
      <c r="DY31" t="s">
        <v>213</v>
      </c>
      <c r="DZ31" t="s">
        <v>612</v>
      </c>
      <c r="EA31" t="s">
        <v>584</v>
      </c>
      <c r="EB31" t="s">
        <v>494</v>
      </c>
      <c r="EC31" t="s">
        <v>182</v>
      </c>
      <c r="ED31" t="s">
        <v>496</v>
      </c>
      <c r="EE31" t="s">
        <v>721</v>
      </c>
      <c r="EF31" t="s">
        <v>473</v>
      </c>
      <c r="EG31" t="s">
        <v>205</v>
      </c>
      <c r="EH31" t="s">
        <v>351</v>
      </c>
      <c r="EI31" t="s">
        <v>182</v>
      </c>
      <c r="EJ31" t="s">
        <v>726</v>
      </c>
      <c r="EK31" t="s">
        <v>598</v>
      </c>
      <c r="EL31" t="s">
        <v>480</v>
      </c>
      <c r="EM31" t="s">
        <v>604</v>
      </c>
      <c r="EN31" t="s">
        <v>604</v>
      </c>
      <c r="EO31" t="s">
        <v>604</v>
      </c>
      <c r="EP31" t="s">
        <v>174</v>
      </c>
      <c r="EQ31" t="s">
        <v>623</v>
      </c>
      <c r="ER31" t="s">
        <v>480</v>
      </c>
      <c r="FH31" t="s">
        <v>993</v>
      </c>
    </row>
    <row r="32" spans="1:164" x14ac:dyDescent="0.25">
      <c r="A32">
        <v>4</v>
      </c>
      <c r="B32" t="s">
        <v>164</v>
      </c>
      <c r="C32">
        <v>46</v>
      </c>
      <c r="D32">
        <v>4601</v>
      </c>
      <c r="E32">
        <v>974738333</v>
      </c>
      <c r="F32" t="s">
        <v>165</v>
      </c>
      <c r="G32" t="s">
        <v>166</v>
      </c>
      <c r="H32" t="s">
        <v>167</v>
      </c>
      <c r="I32" t="s">
        <v>994</v>
      </c>
      <c r="J32" t="s">
        <v>1507</v>
      </c>
      <c r="K32" t="s">
        <v>1001</v>
      </c>
      <c r="L32" t="s">
        <v>604</v>
      </c>
      <c r="M32" t="s">
        <v>604</v>
      </c>
      <c r="N32" t="s">
        <v>731</v>
      </c>
      <c r="O32" t="s">
        <v>604</v>
      </c>
      <c r="P32" t="s">
        <v>995</v>
      </c>
      <c r="Q32" t="s">
        <v>519</v>
      </c>
      <c r="R32" t="s">
        <v>473</v>
      </c>
      <c r="T32" t="s">
        <v>980</v>
      </c>
      <c r="U32" t="s">
        <v>612</v>
      </c>
      <c r="V32" t="s">
        <v>170</v>
      </c>
      <c r="X32" t="s">
        <v>996</v>
      </c>
      <c r="Y32" t="s">
        <v>512</v>
      </c>
      <c r="Z32" t="s">
        <v>608</v>
      </c>
      <c r="AB32" t="s">
        <v>981</v>
      </c>
      <c r="AC32" t="s">
        <v>480</v>
      </c>
      <c r="AD32" t="s">
        <v>504</v>
      </c>
      <c r="AF32" t="s">
        <v>997</v>
      </c>
      <c r="AG32" t="s">
        <v>476</v>
      </c>
      <c r="AH32" t="s">
        <v>481</v>
      </c>
      <c r="AJ32" t="s">
        <v>176</v>
      </c>
      <c r="AK32" t="s">
        <v>483</v>
      </c>
      <c r="AL32" t="s">
        <v>616</v>
      </c>
      <c r="AM32" t="s">
        <v>998</v>
      </c>
      <c r="AN32" t="s">
        <v>179</v>
      </c>
      <c r="AO32" t="s">
        <v>999</v>
      </c>
      <c r="AP32" t="s">
        <v>794</v>
      </c>
      <c r="AQ32" t="s">
        <v>641</v>
      </c>
      <c r="AR32" t="s">
        <v>519</v>
      </c>
      <c r="AS32" t="s">
        <v>488</v>
      </c>
      <c r="AT32" t="s">
        <v>483</v>
      </c>
      <c r="AU32" t="s">
        <v>646</v>
      </c>
      <c r="AV32" t="s">
        <v>533</v>
      </c>
      <c r="AW32" t="s">
        <v>488</v>
      </c>
      <c r="AX32" t="s">
        <v>483</v>
      </c>
      <c r="AY32" t="s">
        <v>1000</v>
      </c>
      <c r="AZ32" t="s">
        <v>533</v>
      </c>
      <c r="BA32" t="s">
        <v>700</v>
      </c>
      <c r="BB32" t="s">
        <v>625</v>
      </c>
      <c r="BC32" t="s">
        <v>1000</v>
      </c>
      <c r="BD32">
        <v>1587</v>
      </c>
      <c r="BE32">
        <v>1399</v>
      </c>
      <c r="BF32">
        <v>1343</v>
      </c>
      <c r="BG32">
        <v>1336</v>
      </c>
      <c r="BH32">
        <v>1544</v>
      </c>
      <c r="BY32" t="s">
        <v>207</v>
      </c>
      <c r="BZ32" t="s">
        <v>204</v>
      </c>
      <c r="CA32" t="s">
        <v>212</v>
      </c>
      <c r="CB32" t="s">
        <v>174</v>
      </c>
      <c r="CC32" t="s">
        <v>213</v>
      </c>
      <c r="CD32" t="s">
        <v>212</v>
      </c>
      <c r="CE32" t="s">
        <v>183</v>
      </c>
      <c r="CF32" t="s">
        <v>644</v>
      </c>
      <c r="CG32" t="s">
        <v>212</v>
      </c>
      <c r="CH32" t="s">
        <v>201</v>
      </c>
      <c r="CI32" t="s">
        <v>202</v>
      </c>
      <c r="CJ32" t="s">
        <v>179</v>
      </c>
      <c r="CK32" t="s">
        <v>281</v>
      </c>
      <c r="CL32" t="s">
        <v>211</v>
      </c>
      <c r="CM32" t="s">
        <v>176</v>
      </c>
      <c r="CN32" t="s">
        <v>281</v>
      </c>
      <c r="CO32" t="s">
        <v>206</v>
      </c>
      <c r="CP32" t="s">
        <v>489</v>
      </c>
      <c r="CQ32" t="s">
        <v>207</v>
      </c>
      <c r="CR32" t="s">
        <v>208</v>
      </c>
      <c r="CS32" t="s">
        <v>176</v>
      </c>
      <c r="CT32" t="s">
        <v>174</v>
      </c>
      <c r="CU32" t="s">
        <v>721</v>
      </c>
      <c r="CV32" t="s">
        <v>612</v>
      </c>
      <c r="CW32" t="s">
        <v>201</v>
      </c>
      <c r="CX32" t="s">
        <v>494</v>
      </c>
      <c r="CY32" t="s">
        <v>182</v>
      </c>
      <c r="CZ32" t="s">
        <v>207</v>
      </c>
      <c r="DA32" t="s">
        <v>522</v>
      </c>
      <c r="DB32" t="s">
        <v>595</v>
      </c>
      <c r="DC32" t="s">
        <v>215</v>
      </c>
      <c r="DD32" t="s">
        <v>557</v>
      </c>
      <c r="DE32" t="s">
        <v>595</v>
      </c>
      <c r="DF32" t="s">
        <v>174</v>
      </c>
      <c r="DG32" t="s">
        <v>206</v>
      </c>
      <c r="DH32" t="s">
        <v>593</v>
      </c>
      <c r="FH32" t="s">
        <v>1001</v>
      </c>
    </row>
    <row r="33" spans="1:164" x14ac:dyDescent="0.25">
      <c r="A33">
        <v>4</v>
      </c>
      <c r="B33" t="s">
        <v>164</v>
      </c>
      <c r="C33">
        <v>46</v>
      </c>
      <c r="D33">
        <v>4601</v>
      </c>
      <c r="E33">
        <v>974738503</v>
      </c>
      <c r="F33" t="s">
        <v>165</v>
      </c>
      <c r="G33" t="s">
        <v>166</v>
      </c>
      <c r="H33" t="s">
        <v>167</v>
      </c>
      <c r="I33" t="s">
        <v>1002</v>
      </c>
      <c r="J33" t="s">
        <v>1508</v>
      </c>
      <c r="K33" t="s">
        <v>1016</v>
      </c>
      <c r="L33" t="s">
        <v>731</v>
      </c>
      <c r="M33" t="s">
        <v>731</v>
      </c>
      <c r="N33" t="s">
        <v>731</v>
      </c>
      <c r="O33" t="s">
        <v>604</v>
      </c>
      <c r="P33" t="s">
        <v>1003</v>
      </c>
      <c r="Q33" t="s">
        <v>489</v>
      </c>
      <c r="R33" t="s">
        <v>481</v>
      </c>
      <c r="T33" t="s">
        <v>1004</v>
      </c>
      <c r="U33" t="s">
        <v>593</v>
      </c>
      <c r="V33" t="s">
        <v>481</v>
      </c>
      <c r="X33" t="s">
        <v>1004</v>
      </c>
      <c r="Y33" t="s">
        <v>179</v>
      </c>
      <c r="Z33" t="s">
        <v>481</v>
      </c>
      <c r="AB33" t="s">
        <v>971</v>
      </c>
      <c r="AC33" t="s">
        <v>489</v>
      </c>
      <c r="AD33" t="s">
        <v>604</v>
      </c>
      <c r="AF33" t="s">
        <v>1005</v>
      </c>
      <c r="AG33" t="s">
        <v>191</v>
      </c>
      <c r="AH33" t="s">
        <v>655</v>
      </c>
      <c r="AJ33" t="s">
        <v>170</v>
      </c>
      <c r="AK33" t="s">
        <v>715</v>
      </c>
      <c r="AL33" t="s">
        <v>1006</v>
      </c>
      <c r="AM33" t="s">
        <v>1007</v>
      </c>
      <c r="AN33" t="s">
        <v>473</v>
      </c>
      <c r="AO33" t="s">
        <v>775</v>
      </c>
      <c r="AP33" t="s">
        <v>1008</v>
      </c>
      <c r="AQ33" t="s">
        <v>1009</v>
      </c>
      <c r="AR33" t="s">
        <v>473</v>
      </c>
      <c r="AS33" t="s">
        <v>1010</v>
      </c>
      <c r="AT33" t="s">
        <v>720</v>
      </c>
      <c r="AU33" t="s">
        <v>1011</v>
      </c>
      <c r="AV33" t="s">
        <v>501</v>
      </c>
      <c r="AW33" t="s">
        <v>1012</v>
      </c>
      <c r="AX33" t="s">
        <v>1013</v>
      </c>
      <c r="AY33" t="s">
        <v>1011</v>
      </c>
      <c r="AZ33" t="s">
        <v>476</v>
      </c>
      <c r="BA33" t="s">
        <v>775</v>
      </c>
      <c r="BB33" t="s">
        <v>1014</v>
      </c>
      <c r="BC33" t="s">
        <v>388</v>
      </c>
      <c r="BD33">
        <v>1505</v>
      </c>
      <c r="BE33">
        <v>1426</v>
      </c>
      <c r="BF33">
        <v>1541</v>
      </c>
      <c r="BG33">
        <v>1438</v>
      </c>
      <c r="BH33">
        <v>1615</v>
      </c>
      <c r="CA33" t="s">
        <v>556</v>
      </c>
      <c r="CB33" t="s">
        <v>216</v>
      </c>
      <c r="CC33" t="s">
        <v>631</v>
      </c>
      <c r="CD33" t="s">
        <v>581</v>
      </c>
      <c r="CE33" t="s">
        <v>205</v>
      </c>
      <c r="CF33" t="s">
        <v>186</v>
      </c>
      <c r="CG33" t="s">
        <v>581</v>
      </c>
      <c r="CH33" t="s">
        <v>212</v>
      </c>
      <c r="CI33" t="s">
        <v>623</v>
      </c>
      <c r="CJ33" t="s">
        <v>504</v>
      </c>
      <c r="CK33" t="s">
        <v>525</v>
      </c>
      <c r="CL33" t="s">
        <v>263</v>
      </c>
      <c r="CM33" t="s">
        <v>504</v>
      </c>
      <c r="CN33" t="s">
        <v>523</v>
      </c>
      <c r="CO33" t="s">
        <v>1015</v>
      </c>
      <c r="CP33" t="s">
        <v>504</v>
      </c>
      <c r="CQ33" t="s">
        <v>216</v>
      </c>
      <c r="CR33" t="s">
        <v>198</v>
      </c>
      <c r="CS33" t="s">
        <v>501</v>
      </c>
      <c r="CT33" t="s">
        <v>525</v>
      </c>
      <c r="CU33" t="s">
        <v>557</v>
      </c>
      <c r="CV33" t="s">
        <v>501</v>
      </c>
      <c r="CW33" t="s">
        <v>281</v>
      </c>
      <c r="CX33" t="s">
        <v>266</v>
      </c>
      <c r="CY33" t="s">
        <v>476</v>
      </c>
      <c r="CZ33" t="s">
        <v>201</v>
      </c>
      <c r="DA33" t="s">
        <v>652</v>
      </c>
      <c r="DB33" t="s">
        <v>608</v>
      </c>
      <c r="DC33" t="s">
        <v>177</v>
      </c>
      <c r="DD33" t="s">
        <v>618</v>
      </c>
      <c r="DE33" t="s">
        <v>502</v>
      </c>
      <c r="DF33" t="s">
        <v>207</v>
      </c>
      <c r="DG33" t="s">
        <v>797</v>
      </c>
      <c r="DH33" t="s">
        <v>608</v>
      </c>
      <c r="FH33" t="s">
        <v>1016</v>
      </c>
    </row>
    <row r="34" spans="1:164" x14ac:dyDescent="0.25">
      <c r="A34">
        <v>4</v>
      </c>
      <c r="B34" t="s">
        <v>164</v>
      </c>
      <c r="C34">
        <v>46</v>
      </c>
      <c r="D34">
        <v>4601</v>
      </c>
      <c r="E34">
        <v>974738252</v>
      </c>
      <c r="F34" t="s">
        <v>165</v>
      </c>
      <c r="G34" t="s">
        <v>166</v>
      </c>
      <c r="H34" t="s">
        <v>167</v>
      </c>
      <c r="I34" t="s">
        <v>1017</v>
      </c>
      <c r="J34" t="s">
        <v>1509</v>
      </c>
      <c r="K34" t="s">
        <v>1028</v>
      </c>
      <c r="L34" t="s">
        <v>797</v>
      </c>
      <c r="M34" t="s">
        <v>797</v>
      </c>
      <c r="N34" t="s">
        <v>604</v>
      </c>
      <c r="O34" t="s">
        <v>604</v>
      </c>
      <c r="P34" t="s">
        <v>869</v>
      </c>
      <c r="Q34" t="s">
        <v>581</v>
      </c>
      <c r="R34" t="s">
        <v>505</v>
      </c>
      <c r="T34" t="s">
        <v>1018</v>
      </c>
      <c r="U34" t="s">
        <v>480</v>
      </c>
      <c r="V34" t="s">
        <v>581</v>
      </c>
      <c r="X34" t="s">
        <v>1019</v>
      </c>
      <c r="Y34" t="s">
        <v>501</v>
      </c>
      <c r="Z34" t="s">
        <v>473</v>
      </c>
      <c r="AB34" t="s">
        <v>1020</v>
      </c>
      <c r="AC34" t="s">
        <v>480</v>
      </c>
      <c r="AD34" t="s">
        <v>476</v>
      </c>
      <c r="AF34" t="s">
        <v>1021</v>
      </c>
      <c r="AG34" t="s">
        <v>608</v>
      </c>
      <c r="AH34" t="s">
        <v>476</v>
      </c>
      <c r="AJ34" t="s">
        <v>281</v>
      </c>
      <c r="AK34" t="s">
        <v>812</v>
      </c>
      <c r="AL34" t="s">
        <v>1022</v>
      </c>
      <c r="AM34" t="s">
        <v>206</v>
      </c>
      <c r="AN34" t="s">
        <v>215</v>
      </c>
      <c r="AO34" t="s">
        <v>433</v>
      </c>
      <c r="AP34" t="s">
        <v>1023</v>
      </c>
      <c r="AQ34" t="s">
        <v>206</v>
      </c>
      <c r="AR34" t="s">
        <v>177</v>
      </c>
      <c r="AS34" t="s">
        <v>1024</v>
      </c>
      <c r="AT34" t="s">
        <v>1025</v>
      </c>
      <c r="AU34" t="s">
        <v>486</v>
      </c>
      <c r="AV34" t="s">
        <v>215</v>
      </c>
      <c r="AW34" t="s">
        <v>555</v>
      </c>
      <c r="AX34" t="s">
        <v>1023</v>
      </c>
      <c r="AY34" t="s">
        <v>557</v>
      </c>
      <c r="AZ34" t="s">
        <v>215</v>
      </c>
      <c r="BA34" t="s">
        <v>271</v>
      </c>
      <c r="BB34" t="s">
        <v>1026</v>
      </c>
      <c r="BC34" t="s">
        <v>557</v>
      </c>
      <c r="BD34">
        <v>1775</v>
      </c>
      <c r="BE34">
        <v>1738</v>
      </c>
      <c r="BF34">
        <v>1777</v>
      </c>
      <c r="BG34">
        <v>1749</v>
      </c>
      <c r="BH34">
        <v>1771</v>
      </c>
      <c r="BI34" t="s">
        <v>349</v>
      </c>
      <c r="BJ34" t="s">
        <v>350</v>
      </c>
      <c r="BK34" t="s">
        <v>604</v>
      </c>
      <c r="BL34" t="s">
        <v>604</v>
      </c>
      <c r="BM34" t="s">
        <v>598</v>
      </c>
      <c r="BN34" t="s">
        <v>608</v>
      </c>
      <c r="BO34" t="s">
        <v>190</v>
      </c>
      <c r="BP34" t="s">
        <v>502</v>
      </c>
      <c r="BQ34" t="s">
        <v>266</v>
      </c>
      <c r="BR34" t="s">
        <v>504</v>
      </c>
      <c r="BS34" t="s">
        <v>966</v>
      </c>
      <c r="BT34" t="s">
        <v>209</v>
      </c>
      <c r="BU34" t="s">
        <v>356</v>
      </c>
      <c r="BV34" t="s">
        <v>724</v>
      </c>
      <c r="BW34" t="s">
        <v>271</v>
      </c>
      <c r="BX34" t="s">
        <v>726</v>
      </c>
      <c r="BY34" t="s">
        <v>205</v>
      </c>
      <c r="BZ34" t="s">
        <v>494</v>
      </c>
      <c r="CA34" t="s">
        <v>183</v>
      </c>
      <c r="CB34" t="s">
        <v>205</v>
      </c>
      <c r="CC34" t="s">
        <v>495</v>
      </c>
      <c r="CD34" t="s">
        <v>183</v>
      </c>
      <c r="CE34" t="s">
        <v>201</v>
      </c>
      <c r="CF34" t="s">
        <v>557</v>
      </c>
      <c r="CG34" t="s">
        <v>183</v>
      </c>
      <c r="CH34" t="s">
        <v>215</v>
      </c>
      <c r="CI34" t="s">
        <v>214</v>
      </c>
      <c r="CJ34" t="s">
        <v>584</v>
      </c>
      <c r="CK34" t="s">
        <v>177</v>
      </c>
      <c r="CL34" t="s">
        <v>213</v>
      </c>
      <c r="CM34" t="s">
        <v>584</v>
      </c>
      <c r="CN34" t="s">
        <v>177</v>
      </c>
      <c r="CO34" t="s">
        <v>495</v>
      </c>
      <c r="CP34" t="s">
        <v>584</v>
      </c>
      <c r="CQ34" t="s">
        <v>207</v>
      </c>
      <c r="CR34" t="s">
        <v>557</v>
      </c>
      <c r="CS34" t="s">
        <v>525</v>
      </c>
      <c r="CT34" t="s">
        <v>177</v>
      </c>
      <c r="CU34" t="s">
        <v>214</v>
      </c>
      <c r="CV34" t="s">
        <v>525</v>
      </c>
      <c r="CW34" t="s">
        <v>207</v>
      </c>
      <c r="CX34" t="s">
        <v>211</v>
      </c>
      <c r="CY34" t="s">
        <v>217</v>
      </c>
      <c r="CZ34" t="s">
        <v>281</v>
      </c>
      <c r="DA34" t="s">
        <v>214</v>
      </c>
      <c r="DB34" t="s">
        <v>582</v>
      </c>
      <c r="DC34" t="s">
        <v>207</v>
      </c>
      <c r="DD34" t="s">
        <v>644</v>
      </c>
      <c r="DE34" t="s">
        <v>582</v>
      </c>
      <c r="DF34" t="s">
        <v>177</v>
      </c>
      <c r="DG34" t="s">
        <v>494</v>
      </c>
      <c r="DH34" t="s">
        <v>582</v>
      </c>
      <c r="DI34" t="s">
        <v>207</v>
      </c>
      <c r="DJ34" t="s">
        <v>495</v>
      </c>
      <c r="DK34" t="s">
        <v>180</v>
      </c>
      <c r="DL34" t="s">
        <v>281</v>
      </c>
      <c r="DM34" t="s">
        <v>644</v>
      </c>
      <c r="DN34" t="s">
        <v>180</v>
      </c>
      <c r="DO34" t="s">
        <v>281</v>
      </c>
      <c r="DP34" t="s">
        <v>495</v>
      </c>
      <c r="DQ34" t="s">
        <v>601</v>
      </c>
      <c r="DR34" t="s">
        <v>207</v>
      </c>
      <c r="DS34" t="s">
        <v>301</v>
      </c>
      <c r="DT34" t="s">
        <v>584</v>
      </c>
      <c r="DU34" t="s">
        <v>207</v>
      </c>
      <c r="DV34" t="s">
        <v>494</v>
      </c>
      <c r="DW34" t="s">
        <v>180</v>
      </c>
      <c r="DX34" t="s">
        <v>207</v>
      </c>
      <c r="DY34" t="s">
        <v>497</v>
      </c>
      <c r="DZ34" t="s">
        <v>180</v>
      </c>
      <c r="EA34" t="s">
        <v>174</v>
      </c>
      <c r="EB34" t="s">
        <v>644</v>
      </c>
      <c r="EC34" t="s">
        <v>584</v>
      </c>
      <c r="ED34" t="s">
        <v>177</v>
      </c>
      <c r="EE34" t="s">
        <v>566</v>
      </c>
      <c r="EF34" t="s">
        <v>584</v>
      </c>
      <c r="EG34" t="s">
        <v>281</v>
      </c>
      <c r="EH34" t="s">
        <v>301</v>
      </c>
      <c r="EI34" t="s">
        <v>586</v>
      </c>
      <c r="EJ34" t="s">
        <v>600</v>
      </c>
      <c r="EK34" t="s">
        <v>497</v>
      </c>
      <c r="EL34" t="s">
        <v>183</v>
      </c>
      <c r="EM34" t="s">
        <v>205</v>
      </c>
      <c r="EN34" t="s">
        <v>495</v>
      </c>
      <c r="EO34" t="s">
        <v>496</v>
      </c>
      <c r="EP34" t="s">
        <v>201</v>
      </c>
      <c r="EQ34" t="s">
        <v>202</v>
      </c>
      <c r="ER34" t="s">
        <v>183</v>
      </c>
      <c r="ES34" t="s">
        <v>214</v>
      </c>
      <c r="ET34" t="s">
        <v>211</v>
      </c>
      <c r="EU34" t="s">
        <v>212</v>
      </c>
      <c r="EV34" t="s">
        <v>211</v>
      </c>
      <c r="EW34" t="s">
        <v>562</v>
      </c>
      <c r="EX34" t="s">
        <v>1027</v>
      </c>
      <c r="EY34">
        <v>85</v>
      </c>
      <c r="EZ34">
        <v>30</v>
      </c>
      <c r="FA34" t="s">
        <v>215</v>
      </c>
      <c r="FB34" t="s">
        <v>306</v>
      </c>
      <c r="FC34" t="s">
        <v>389</v>
      </c>
      <c r="FD34" t="s">
        <v>724</v>
      </c>
      <c r="FE34">
        <v>130</v>
      </c>
      <c r="FF34">
        <v>80</v>
      </c>
      <c r="FG34" t="s">
        <v>180</v>
      </c>
      <c r="FH34" t="s">
        <v>1028</v>
      </c>
    </row>
    <row r="35" spans="1:164" x14ac:dyDescent="0.25">
      <c r="A35">
        <v>4</v>
      </c>
      <c r="B35" t="s">
        <v>164</v>
      </c>
      <c r="C35">
        <v>46</v>
      </c>
      <c r="D35">
        <v>4601</v>
      </c>
      <c r="E35">
        <v>974738449</v>
      </c>
      <c r="F35" t="s">
        <v>165</v>
      </c>
      <c r="G35" t="s">
        <v>166</v>
      </c>
      <c r="H35" t="s">
        <v>167</v>
      </c>
      <c r="I35" t="s">
        <v>1030</v>
      </c>
      <c r="J35" t="s">
        <v>1510</v>
      </c>
      <c r="K35" t="s">
        <v>1044</v>
      </c>
      <c r="L35" t="s">
        <v>571</v>
      </c>
      <c r="M35" t="s">
        <v>571</v>
      </c>
      <c r="N35" t="s">
        <v>731</v>
      </c>
      <c r="O35" t="s">
        <v>731</v>
      </c>
      <c r="P35" t="s">
        <v>1031</v>
      </c>
      <c r="Q35" t="s">
        <v>176</v>
      </c>
      <c r="R35" t="s">
        <v>174</v>
      </c>
      <c r="T35" t="s">
        <v>1032</v>
      </c>
      <c r="U35" t="s">
        <v>612</v>
      </c>
      <c r="V35" t="s">
        <v>209</v>
      </c>
      <c r="X35" t="s">
        <v>1033</v>
      </c>
      <c r="Y35" t="s">
        <v>195</v>
      </c>
      <c r="Z35" t="s">
        <v>523</v>
      </c>
      <c r="AB35" t="s">
        <v>1034</v>
      </c>
      <c r="AC35" t="s">
        <v>191</v>
      </c>
      <c r="AD35" t="s">
        <v>1029</v>
      </c>
      <c r="AF35" t="s">
        <v>1035</v>
      </c>
      <c r="AG35" t="s">
        <v>195</v>
      </c>
      <c r="AH35" t="s">
        <v>171</v>
      </c>
      <c r="AJ35" t="s">
        <v>174</v>
      </c>
      <c r="AK35" t="s">
        <v>1036</v>
      </c>
      <c r="AL35" t="s">
        <v>1037</v>
      </c>
      <c r="AM35" t="s">
        <v>630</v>
      </c>
      <c r="AN35" t="s">
        <v>207</v>
      </c>
      <c r="AO35" t="s">
        <v>1038</v>
      </c>
      <c r="AP35" t="s">
        <v>848</v>
      </c>
      <c r="AQ35" t="s">
        <v>486</v>
      </c>
      <c r="AR35" t="s">
        <v>207</v>
      </c>
      <c r="AS35" t="s">
        <v>356</v>
      </c>
      <c r="AT35" t="s">
        <v>1039</v>
      </c>
      <c r="AU35" t="s">
        <v>721</v>
      </c>
      <c r="AV35" t="s">
        <v>210</v>
      </c>
      <c r="AW35" t="s">
        <v>1040</v>
      </c>
      <c r="AX35" t="s">
        <v>1041</v>
      </c>
      <c r="AY35" t="s">
        <v>797</v>
      </c>
      <c r="AZ35" t="s">
        <v>216</v>
      </c>
      <c r="BA35" t="s">
        <v>830</v>
      </c>
      <c r="BB35" t="s">
        <v>1042</v>
      </c>
      <c r="BC35" t="s">
        <v>637</v>
      </c>
      <c r="BD35">
        <v>1732</v>
      </c>
      <c r="BE35">
        <v>1682</v>
      </c>
      <c r="BF35">
        <v>1567</v>
      </c>
      <c r="BG35">
        <v>1765</v>
      </c>
      <c r="BH35">
        <v>1688</v>
      </c>
      <c r="BI35" t="s">
        <v>349</v>
      </c>
      <c r="BJ35" t="s">
        <v>350</v>
      </c>
      <c r="BK35" t="s">
        <v>604</v>
      </c>
      <c r="BL35" t="s">
        <v>604</v>
      </c>
      <c r="BM35" t="s">
        <v>721</v>
      </c>
      <c r="BN35" t="s">
        <v>530</v>
      </c>
      <c r="BO35" t="s">
        <v>604</v>
      </c>
      <c r="BP35" t="s">
        <v>604</v>
      </c>
      <c r="BQ35" t="s">
        <v>604</v>
      </c>
      <c r="BR35" t="s">
        <v>604</v>
      </c>
      <c r="BS35" t="s">
        <v>830</v>
      </c>
      <c r="BT35" t="s">
        <v>734</v>
      </c>
      <c r="BU35" t="s">
        <v>848</v>
      </c>
      <c r="BV35" t="s">
        <v>586</v>
      </c>
      <c r="BW35" t="s">
        <v>553</v>
      </c>
      <c r="BX35" t="s">
        <v>692</v>
      </c>
      <c r="BY35" t="s">
        <v>281</v>
      </c>
      <c r="BZ35" t="s">
        <v>486</v>
      </c>
      <c r="CA35" t="s">
        <v>195</v>
      </c>
      <c r="CB35" t="s">
        <v>210</v>
      </c>
      <c r="CC35" t="s">
        <v>557</v>
      </c>
      <c r="CD35" t="s">
        <v>593</v>
      </c>
      <c r="CE35" t="s">
        <v>177</v>
      </c>
      <c r="CF35" t="s">
        <v>202</v>
      </c>
      <c r="CG35" t="s">
        <v>191</v>
      </c>
      <c r="CH35" t="s">
        <v>281</v>
      </c>
      <c r="CI35" t="s">
        <v>202</v>
      </c>
      <c r="CJ35" t="s">
        <v>171</v>
      </c>
      <c r="CK35" t="s">
        <v>215</v>
      </c>
      <c r="CL35" t="s">
        <v>202</v>
      </c>
      <c r="CM35" t="s">
        <v>191</v>
      </c>
      <c r="CN35" t="s">
        <v>217</v>
      </c>
      <c r="CO35" t="s">
        <v>486</v>
      </c>
      <c r="CP35" t="s">
        <v>595</v>
      </c>
      <c r="CQ35" t="s">
        <v>205</v>
      </c>
      <c r="CR35" t="s">
        <v>211</v>
      </c>
      <c r="CS35" t="s">
        <v>212</v>
      </c>
      <c r="CT35" t="s">
        <v>177</v>
      </c>
      <c r="CU35" t="s">
        <v>486</v>
      </c>
      <c r="CV35" t="s">
        <v>523</v>
      </c>
      <c r="CW35" t="s">
        <v>207</v>
      </c>
      <c r="CX35" t="s">
        <v>522</v>
      </c>
      <c r="CY35" t="s">
        <v>523</v>
      </c>
      <c r="CZ35" t="s">
        <v>216</v>
      </c>
      <c r="DA35" t="s">
        <v>301</v>
      </c>
      <c r="DB35" t="s">
        <v>582</v>
      </c>
      <c r="DC35" t="s">
        <v>217</v>
      </c>
      <c r="DD35" t="s">
        <v>301</v>
      </c>
      <c r="DE35" t="s">
        <v>726</v>
      </c>
      <c r="DF35" t="s">
        <v>215</v>
      </c>
      <c r="DG35" t="s">
        <v>644</v>
      </c>
      <c r="DH35" t="s">
        <v>726</v>
      </c>
      <c r="DK35" t="s">
        <v>556</v>
      </c>
      <c r="DN35" t="s">
        <v>556</v>
      </c>
      <c r="DQ35" t="s">
        <v>556</v>
      </c>
      <c r="DR35" t="s">
        <v>177</v>
      </c>
      <c r="DS35" t="s">
        <v>629</v>
      </c>
      <c r="DT35" t="s">
        <v>281</v>
      </c>
      <c r="DU35" t="s">
        <v>216</v>
      </c>
      <c r="DV35" t="s">
        <v>206</v>
      </c>
      <c r="DW35" t="s">
        <v>174</v>
      </c>
      <c r="DX35" t="s">
        <v>210</v>
      </c>
      <c r="DY35" t="s">
        <v>211</v>
      </c>
      <c r="DZ35" t="s">
        <v>207</v>
      </c>
      <c r="EA35" t="s">
        <v>177</v>
      </c>
      <c r="EB35" t="s">
        <v>494</v>
      </c>
      <c r="EC35" t="s">
        <v>217</v>
      </c>
      <c r="ED35" t="s">
        <v>215</v>
      </c>
      <c r="EE35" t="s">
        <v>204</v>
      </c>
      <c r="EF35" t="s">
        <v>216</v>
      </c>
      <c r="EG35" t="s">
        <v>217</v>
      </c>
      <c r="EH35" t="s">
        <v>211</v>
      </c>
      <c r="EI35" t="s">
        <v>215</v>
      </c>
      <c r="EJ35" t="s">
        <v>174</v>
      </c>
      <c r="EK35" t="s">
        <v>644</v>
      </c>
      <c r="EL35" t="s">
        <v>180</v>
      </c>
      <c r="EM35" t="s">
        <v>177</v>
      </c>
      <c r="EN35" t="s">
        <v>644</v>
      </c>
      <c r="EO35" t="s">
        <v>584</v>
      </c>
      <c r="EP35" t="s">
        <v>281</v>
      </c>
      <c r="EQ35" t="s">
        <v>213</v>
      </c>
      <c r="ER35" t="s">
        <v>584</v>
      </c>
      <c r="ES35" t="s">
        <v>186</v>
      </c>
      <c r="ET35" t="s">
        <v>300</v>
      </c>
      <c r="EU35" t="s">
        <v>732</v>
      </c>
      <c r="EV35" t="s">
        <v>389</v>
      </c>
      <c r="EW35" t="s">
        <v>300</v>
      </c>
      <c r="EX35" t="s">
        <v>676</v>
      </c>
      <c r="EY35">
        <v>110</v>
      </c>
      <c r="EZ35">
        <v>70</v>
      </c>
      <c r="FA35" t="s">
        <v>1043</v>
      </c>
      <c r="FB35" t="s">
        <v>305</v>
      </c>
      <c r="FC35" t="s">
        <v>629</v>
      </c>
      <c r="FD35" t="s">
        <v>727</v>
      </c>
      <c r="FE35">
        <v>80</v>
      </c>
      <c r="FF35">
        <v>20</v>
      </c>
      <c r="FG35" t="s">
        <v>676</v>
      </c>
      <c r="FH35" t="s">
        <v>1044</v>
      </c>
    </row>
    <row r="36" spans="1:164" x14ac:dyDescent="0.25">
      <c r="A36">
        <v>4</v>
      </c>
      <c r="B36" t="s">
        <v>164</v>
      </c>
      <c r="C36">
        <v>46</v>
      </c>
      <c r="D36">
        <v>4601</v>
      </c>
      <c r="E36">
        <v>874222062</v>
      </c>
      <c r="F36" t="s">
        <v>165</v>
      </c>
      <c r="G36" t="s">
        <v>166</v>
      </c>
      <c r="H36" t="s">
        <v>167</v>
      </c>
      <c r="I36" t="s">
        <v>1045</v>
      </c>
      <c r="J36" t="s">
        <v>1511</v>
      </c>
      <c r="K36" t="s">
        <v>1051</v>
      </c>
      <c r="L36" t="s">
        <v>1441</v>
      </c>
      <c r="M36" t="s">
        <v>989</v>
      </c>
      <c r="N36" t="s">
        <v>604</v>
      </c>
      <c r="O36" t="s">
        <v>604</v>
      </c>
      <c r="P36" t="s">
        <v>1046</v>
      </c>
      <c r="Q36" t="s">
        <v>480</v>
      </c>
      <c r="R36" t="s">
        <v>608</v>
      </c>
      <c r="T36" t="s">
        <v>792</v>
      </c>
      <c r="U36" t="s">
        <v>476</v>
      </c>
      <c r="V36" t="s">
        <v>655</v>
      </c>
      <c r="X36" t="s">
        <v>1046</v>
      </c>
      <c r="Y36" t="s">
        <v>504</v>
      </c>
      <c r="Z36" t="s">
        <v>508</v>
      </c>
      <c r="AB36" t="s">
        <v>1046</v>
      </c>
      <c r="AC36" t="s">
        <v>581</v>
      </c>
      <c r="AD36" t="s">
        <v>604</v>
      </c>
      <c r="AF36" t="s">
        <v>1047</v>
      </c>
      <c r="AG36" t="s">
        <v>504</v>
      </c>
      <c r="AH36" t="s">
        <v>604</v>
      </c>
      <c r="AJ36" t="s">
        <v>473</v>
      </c>
      <c r="AK36" t="s">
        <v>899</v>
      </c>
      <c r="AL36" t="s">
        <v>1048</v>
      </c>
      <c r="AM36" t="s">
        <v>606</v>
      </c>
      <c r="AN36" t="s">
        <v>529</v>
      </c>
      <c r="AO36" t="s">
        <v>668</v>
      </c>
      <c r="AP36" t="s">
        <v>770</v>
      </c>
      <c r="AQ36" t="s">
        <v>669</v>
      </c>
      <c r="AR36" t="s">
        <v>474</v>
      </c>
      <c r="AS36" t="s">
        <v>985</v>
      </c>
      <c r="AT36" t="s">
        <v>772</v>
      </c>
      <c r="AU36" t="s">
        <v>213</v>
      </c>
      <c r="AV36" t="s">
        <v>474</v>
      </c>
      <c r="AW36" t="s">
        <v>808</v>
      </c>
      <c r="AX36" t="s">
        <v>657</v>
      </c>
      <c r="AY36" t="s">
        <v>204</v>
      </c>
      <c r="AZ36" t="s">
        <v>519</v>
      </c>
      <c r="BA36" t="s">
        <v>515</v>
      </c>
      <c r="BB36" t="s">
        <v>1049</v>
      </c>
      <c r="BC36" t="s">
        <v>1050</v>
      </c>
      <c r="BD36">
        <v>1691</v>
      </c>
      <c r="BE36">
        <v>1652</v>
      </c>
      <c r="BF36">
        <v>1600</v>
      </c>
      <c r="BG36">
        <v>1544</v>
      </c>
      <c r="BH36">
        <v>1487</v>
      </c>
      <c r="BY36" t="s">
        <v>210</v>
      </c>
      <c r="BZ36" t="s">
        <v>211</v>
      </c>
      <c r="CA36" t="s">
        <v>489</v>
      </c>
      <c r="CB36" t="s">
        <v>215</v>
      </c>
      <c r="CC36" t="s">
        <v>630</v>
      </c>
      <c r="CD36" t="s">
        <v>195</v>
      </c>
      <c r="CE36" t="s">
        <v>210</v>
      </c>
      <c r="CF36" t="s">
        <v>208</v>
      </c>
      <c r="CG36" t="s">
        <v>489</v>
      </c>
      <c r="CH36" t="s">
        <v>216</v>
      </c>
      <c r="CI36" t="s">
        <v>630</v>
      </c>
      <c r="CJ36" t="s">
        <v>171</v>
      </c>
      <c r="CK36" t="s">
        <v>177</v>
      </c>
      <c r="CL36" t="s">
        <v>208</v>
      </c>
      <c r="CM36" t="s">
        <v>588</v>
      </c>
      <c r="CN36" t="s">
        <v>210</v>
      </c>
      <c r="CO36" t="s">
        <v>629</v>
      </c>
      <c r="CP36" t="s">
        <v>203</v>
      </c>
      <c r="CQ36" t="s">
        <v>205</v>
      </c>
      <c r="CR36" t="s">
        <v>486</v>
      </c>
      <c r="CS36" t="s">
        <v>187</v>
      </c>
      <c r="CT36" t="s">
        <v>177</v>
      </c>
      <c r="CU36" t="s">
        <v>629</v>
      </c>
      <c r="CV36" t="s">
        <v>187</v>
      </c>
      <c r="CW36" t="s">
        <v>216</v>
      </c>
      <c r="CX36" t="s">
        <v>208</v>
      </c>
      <c r="CY36" t="s">
        <v>187</v>
      </c>
      <c r="CZ36" t="s">
        <v>177</v>
      </c>
      <c r="DA36" t="s">
        <v>522</v>
      </c>
      <c r="DB36" t="s">
        <v>187</v>
      </c>
      <c r="DC36" t="s">
        <v>174</v>
      </c>
      <c r="DD36" t="s">
        <v>494</v>
      </c>
      <c r="DE36" t="s">
        <v>187</v>
      </c>
      <c r="DF36" t="s">
        <v>177</v>
      </c>
      <c r="DG36" t="s">
        <v>630</v>
      </c>
      <c r="DH36" t="s">
        <v>187</v>
      </c>
      <c r="FH36" t="s">
        <v>1051</v>
      </c>
    </row>
    <row r="37" spans="1:164" x14ac:dyDescent="0.25">
      <c r="A37">
        <v>4</v>
      </c>
      <c r="B37" t="s">
        <v>164</v>
      </c>
      <c r="C37">
        <v>46</v>
      </c>
      <c r="D37">
        <v>4601</v>
      </c>
      <c r="E37">
        <v>974737914</v>
      </c>
      <c r="F37" t="s">
        <v>165</v>
      </c>
      <c r="G37" t="s">
        <v>166</v>
      </c>
      <c r="H37" t="s">
        <v>167</v>
      </c>
      <c r="I37" t="s">
        <v>1052</v>
      </c>
      <c r="J37" t="s">
        <v>1512</v>
      </c>
      <c r="K37" t="s">
        <v>1062</v>
      </c>
      <c r="L37" t="s">
        <v>742</v>
      </c>
      <c r="M37" t="s">
        <v>1395</v>
      </c>
      <c r="N37" t="s">
        <v>623</v>
      </c>
      <c r="O37" t="s">
        <v>604</v>
      </c>
      <c r="P37" t="s">
        <v>1053</v>
      </c>
      <c r="Q37" t="s">
        <v>182</v>
      </c>
      <c r="R37" t="s">
        <v>191</v>
      </c>
      <c r="T37" t="s">
        <v>1054</v>
      </c>
      <c r="U37" t="s">
        <v>182</v>
      </c>
      <c r="V37" t="s">
        <v>593</v>
      </c>
      <c r="X37" t="s">
        <v>1055</v>
      </c>
      <c r="Y37" t="s">
        <v>195</v>
      </c>
      <c r="Z37" t="s">
        <v>195</v>
      </c>
      <c r="AB37" t="s">
        <v>320</v>
      </c>
      <c r="AC37" t="s">
        <v>595</v>
      </c>
      <c r="AD37" t="s">
        <v>533</v>
      </c>
      <c r="AF37" t="s">
        <v>1056</v>
      </c>
      <c r="AG37" t="s">
        <v>187</v>
      </c>
      <c r="AH37" t="s">
        <v>474</v>
      </c>
      <c r="AJ37" t="s">
        <v>171</v>
      </c>
      <c r="AK37" t="s">
        <v>1057</v>
      </c>
      <c r="AL37" t="s">
        <v>597</v>
      </c>
      <c r="AM37" t="s">
        <v>522</v>
      </c>
      <c r="AN37" t="s">
        <v>588</v>
      </c>
      <c r="AO37" t="s">
        <v>1058</v>
      </c>
      <c r="AP37" t="s">
        <v>785</v>
      </c>
      <c r="AQ37" t="s">
        <v>351</v>
      </c>
      <c r="AR37" t="s">
        <v>588</v>
      </c>
      <c r="AS37" t="s">
        <v>1059</v>
      </c>
      <c r="AT37" t="s">
        <v>1060</v>
      </c>
      <c r="AU37" t="s">
        <v>389</v>
      </c>
      <c r="AV37" t="s">
        <v>171</v>
      </c>
      <c r="AW37" t="s">
        <v>1061</v>
      </c>
      <c r="AX37" t="s">
        <v>756</v>
      </c>
      <c r="AY37" t="s">
        <v>800</v>
      </c>
      <c r="AZ37" t="s">
        <v>191</v>
      </c>
      <c r="BA37" t="s">
        <v>760</v>
      </c>
      <c r="BB37" t="s">
        <v>991</v>
      </c>
      <c r="BC37" t="s">
        <v>305</v>
      </c>
      <c r="BD37">
        <v>1609</v>
      </c>
      <c r="BE37">
        <v>1572</v>
      </c>
      <c r="BF37">
        <v>1474</v>
      </c>
      <c r="BG37">
        <v>1488</v>
      </c>
      <c r="BH37">
        <v>1580</v>
      </c>
      <c r="BY37" t="s">
        <v>281</v>
      </c>
      <c r="BZ37" t="s">
        <v>202</v>
      </c>
      <c r="CA37" t="s">
        <v>217</v>
      </c>
      <c r="CB37" t="s">
        <v>207</v>
      </c>
      <c r="CC37" t="s">
        <v>557</v>
      </c>
      <c r="CD37" t="s">
        <v>217</v>
      </c>
      <c r="CG37" t="s">
        <v>556</v>
      </c>
      <c r="CH37" t="s">
        <v>281</v>
      </c>
      <c r="CI37" t="s">
        <v>497</v>
      </c>
      <c r="CJ37" t="s">
        <v>584</v>
      </c>
      <c r="CK37" t="s">
        <v>174</v>
      </c>
      <c r="CL37" t="s">
        <v>495</v>
      </c>
      <c r="CM37" t="s">
        <v>584</v>
      </c>
      <c r="CN37" t="s">
        <v>174</v>
      </c>
      <c r="CO37" t="s">
        <v>204</v>
      </c>
      <c r="CP37" t="s">
        <v>584</v>
      </c>
      <c r="CQ37" t="s">
        <v>177</v>
      </c>
      <c r="CR37" t="s">
        <v>213</v>
      </c>
      <c r="CS37" t="s">
        <v>582</v>
      </c>
      <c r="CT37" t="s">
        <v>281</v>
      </c>
      <c r="CU37" t="s">
        <v>213</v>
      </c>
      <c r="CV37" t="s">
        <v>582</v>
      </c>
      <c r="CW37" t="s">
        <v>281</v>
      </c>
      <c r="CX37" t="s">
        <v>497</v>
      </c>
      <c r="CY37" t="s">
        <v>726</v>
      </c>
      <c r="CZ37" t="s">
        <v>207</v>
      </c>
      <c r="DA37" t="s">
        <v>204</v>
      </c>
      <c r="DB37" t="s">
        <v>207</v>
      </c>
      <c r="DC37" t="s">
        <v>207</v>
      </c>
      <c r="DD37" t="s">
        <v>497</v>
      </c>
      <c r="DE37" t="s">
        <v>281</v>
      </c>
      <c r="DF37" t="s">
        <v>174</v>
      </c>
      <c r="DG37" t="s">
        <v>213</v>
      </c>
      <c r="DH37" t="s">
        <v>177</v>
      </c>
      <c r="FH37" t="s">
        <v>1062</v>
      </c>
    </row>
    <row r="38" spans="1:164" x14ac:dyDescent="0.25">
      <c r="A38">
        <v>4</v>
      </c>
      <c r="B38" t="s">
        <v>164</v>
      </c>
      <c r="C38">
        <v>46</v>
      </c>
      <c r="D38">
        <v>4601</v>
      </c>
      <c r="E38">
        <v>974738228</v>
      </c>
      <c r="F38" t="s">
        <v>165</v>
      </c>
      <c r="G38" t="s">
        <v>166</v>
      </c>
      <c r="H38" t="s">
        <v>167</v>
      </c>
      <c r="I38" t="s">
        <v>1063</v>
      </c>
      <c r="J38" t="s">
        <v>1513</v>
      </c>
      <c r="K38" t="s">
        <v>1066</v>
      </c>
      <c r="L38" t="s">
        <v>731</v>
      </c>
      <c r="M38" t="s">
        <v>731</v>
      </c>
      <c r="N38" t="s">
        <v>731</v>
      </c>
      <c r="O38" t="s">
        <v>731</v>
      </c>
      <c r="P38" t="s">
        <v>595</v>
      </c>
      <c r="Q38" t="s">
        <v>655</v>
      </c>
      <c r="R38" t="s">
        <v>604</v>
      </c>
      <c r="T38" t="s">
        <v>588</v>
      </c>
      <c r="U38" t="s">
        <v>508</v>
      </c>
      <c r="V38" t="s">
        <v>556</v>
      </c>
      <c r="X38" t="s">
        <v>612</v>
      </c>
      <c r="Y38" t="s">
        <v>604</v>
      </c>
      <c r="Z38" t="s">
        <v>604</v>
      </c>
      <c r="AB38" t="s">
        <v>191</v>
      </c>
      <c r="AC38" t="s">
        <v>604</v>
      </c>
      <c r="AD38" t="s">
        <v>604</v>
      </c>
      <c r="AF38" t="s">
        <v>217</v>
      </c>
      <c r="AG38" t="s">
        <v>604</v>
      </c>
      <c r="AH38" t="s">
        <v>604</v>
      </c>
      <c r="AJ38" t="s">
        <v>508</v>
      </c>
      <c r="AK38" t="s">
        <v>1064</v>
      </c>
      <c r="AL38" t="s">
        <v>633</v>
      </c>
      <c r="AM38" t="s">
        <v>990</v>
      </c>
      <c r="AN38" t="s">
        <v>508</v>
      </c>
      <c r="AO38" t="s">
        <v>190</v>
      </c>
      <c r="AP38" t="s">
        <v>266</v>
      </c>
      <c r="AQ38" t="s">
        <v>643</v>
      </c>
      <c r="AR38" t="s">
        <v>1065</v>
      </c>
      <c r="AS38" t="s">
        <v>186</v>
      </c>
      <c r="AT38" t="s">
        <v>629</v>
      </c>
      <c r="AU38" t="s">
        <v>497</v>
      </c>
      <c r="AV38" t="s">
        <v>508</v>
      </c>
      <c r="AW38" t="s">
        <v>190</v>
      </c>
      <c r="AX38" t="s">
        <v>351</v>
      </c>
      <c r="AY38" t="s">
        <v>990</v>
      </c>
      <c r="AZ38" t="s">
        <v>508</v>
      </c>
      <c r="BA38" t="s">
        <v>800</v>
      </c>
      <c r="BB38" t="s">
        <v>631</v>
      </c>
      <c r="BD38">
        <v>1123</v>
      </c>
      <c r="BE38">
        <v>1262</v>
      </c>
      <c r="BF38">
        <v>1068</v>
      </c>
      <c r="BG38">
        <v>1090</v>
      </c>
      <c r="BH38">
        <v>1089</v>
      </c>
      <c r="BY38" t="s">
        <v>604</v>
      </c>
      <c r="BZ38" t="s">
        <v>604</v>
      </c>
      <c r="CA38" t="s">
        <v>604</v>
      </c>
      <c r="CB38" t="s">
        <v>604</v>
      </c>
      <c r="CC38" t="s">
        <v>604</v>
      </c>
      <c r="CD38" t="s">
        <v>604</v>
      </c>
      <c r="CE38" t="s">
        <v>604</v>
      </c>
      <c r="CF38" t="s">
        <v>604</v>
      </c>
      <c r="CG38" t="s">
        <v>604</v>
      </c>
      <c r="CH38" t="s">
        <v>604</v>
      </c>
      <c r="CI38" t="s">
        <v>604</v>
      </c>
      <c r="CJ38" t="s">
        <v>604</v>
      </c>
      <c r="CK38" t="s">
        <v>604</v>
      </c>
      <c r="CL38" t="s">
        <v>604</v>
      </c>
      <c r="CM38" t="s">
        <v>604</v>
      </c>
      <c r="CN38" t="s">
        <v>604</v>
      </c>
      <c r="CO38" t="s">
        <v>604</v>
      </c>
      <c r="CP38" t="s">
        <v>604</v>
      </c>
      <c r="CQ38" t="s">
        <v>604</v>
      </c>
      <c r="CR38" t="s">
        <v>604</v>
      </c>
      <c r="CS38" t="s">
        <v>604</v>
      </c>
      <c r="CT38" t="s">
        <v>604</v>
      </c>
      <c r="CU38" t="s">
        <v>604</v>
      </c>
      <c r="CV38" t="s">
        <v>604</v>
      </c>
      <c r="CW38" t="s">
        <v>604</v>
      </c>
      <c r="CX38" t="s">
        <v>604</v>
      </c>
      <c r="CY38" t="s">
        <v>604</v>
      </c>
      <c r="CZ38" t="s">
        <v>604</v>
      </c>
      <c r="DA38" t="s">
        <v>604</v>
      </c>
      <c r="DB38" t="s">
        <v>604</v>
      </c>
      <c r="DC38" t="s">
        <v>604</v>
      </c>
      <c r="DD38" t="s">
        <v>604</v>
      </c>
      <c r="DE38" t="s">
        <v>604</v>
      </c>
      <c r="DF38" t="s">
        <v>604</v>
      </c>
      <c r="DG38" t="s">
        <v>604</v>
      </c>
      <c r="DH38" t="s">
        <v>604</v>
      </c>
      <c r="FH38" t="s">
        <v>1066</v>
      </c>
    </row>
    <row r="39" spans="1:164" x14ac:dyDescent="0.25">
      <c r="A39">
        <v>4</v>
      </c>
      <c r="B39" t="s">
        <v>164</v>
      </c>
      <c r="C39">
        <v>46</v>
      </c>
      <c r="D39">
        <v>4601</v>
      </c>
      <c r="E39">
        <v>974737922</v>
      </c>
      <c r="F39" t="s">
        <v>165</v>
      </c>
      <c r="G39" t="s">
        <v>166</v>
      </c>
      <c r="H39" t="s">
        <v>167</v>
      </c>
      <c r="I39" t="s">
        <v>1067</v>
      </c>
      <c r="J39" t="s">
        <v>1514</v>
      </c>
      <c r="K39" t="s">
        <v>1074</v>
      </c>
      <c r="L39" t="s">
        <v>731</v>
      </c>
      <c r="M39" t="s">
        <v>731</v>
      </c>
      <c r="N39" t="s">
        <v>731</v>
      </c>
      <c r="O39" t="s">
        <v>604</v>
      </c>
      <c r="P39" t="s">
        <v>1068</v>
      </c>
      <c r="Q39" t="s">
        <v>504</v>
      </c>
      <c r="R39" t="s">
        <v>480</v>
      </c>
      <c r="T39" t="s">
        <v>1069</v>
      </c>
      <c r="U39" t="s">
        <v>502</v>
      </c>
      <c r="V39" t="s">
        <v>473</v>
      </c>
      <c r="X39" t="s">
        <v>933</v>
      </c>
      <c r="Y39" t="s">
        <v>580</v>
      </c>
      <c r="Z39" t="s">
        <v>473</v>
      </c>
      <c r="AB39" t="s">
        <v>1070</v>
      </c>
      <c r="AC39" t="s">
        <v>173</v>
      </c>
      <c r="AD39" t="s">
        <v>187</v>
      </c>
      <c r="AF39" t="s">
        <v>1071</v>
      </c>
      <c r="AG39" t="s">
        <v>173</v>
      </c>
      <c r="AH39" t="s">
        <v>512</v>
      </c>
      <c r="AJ39" t="s">
        <v>474</v>
      </c>
      <c r="AK39" t="s">
        <v>1072</v>
      </c>
      <c r="AL39" t="s">
        <v>716</v>
      </c>
      <c r="AM39" t="s">
        <v>194</v>
      </c>
      <c r="AN39" t="s">
        <v>474</v>
      </c>
      <c r="AO39" t="s">
        <v>805</v>
      </c>
      <c r="AP39" t="s">
        <v>715</v>
      </c>
      <c r="AQ39" t="s">
        <v>632</v>
      </c>
      <c r="AR39" t="s">
        <v>512</v>
      </c>
      <c r="AS39" t="s">
        <v>659</v>
      </c>
      <c r="AT39" t="s">
        <v>1073</v>
      </c>
      <c r="AU39" t="s">
        <v>1064</v>
      </c>
      <c r="AV39" t="s">
        <v>533</v>
      </c>
      <c r="AW39" t="s">
        <v>521</v>
      </c>
      <c r="AX39" t="s">
        <v>984</v>
      </c>
      <c r="AY39" t="s">
        <v>623</v>
      </c>
      <c r="AZ39" t="s">
        <v>474</v>
      </c>
      <c r="BA39" t="s">
        <v>713</v>
      </c>
      <c r="BB39" t="s">
        <v>714</v>
      </c>
      <c r="BC39" t="s">
        <v>626</v>
      </c>
      <c r="BD39">
        <v>1512</v>
      </c>
      <c r="BE39">
        <v>1600</v>
      </c>
      <c r="BF39">
        <v>1415</v>
      </c>
      <c r="BG39">
        <v>1609</v>
      </c>
      <c r="BH39">
        <v>1476</v>
      </c>
      <c r="BY39" t="s">
        <v>174</v>
      </c>
      <c r="BZ39" t="s">
        <v>186</v>
      </c>
      <c r="CA39" t="s">
        <v>489</v>
      </c>
      <c r="CB39" t="s">
        <v>205</v>
      </c>
      <c r="CC39" t="s">
        <v>198</v>
      </c>
      <c r="CD39" t="s">
        <v>489</v>
      </c>
      <c r="CE39" t="s">
        <v>281</v>
      </c>
      <c r="CF39" t="s">
        <v>208</v>
      </c>
      <c r="CG39" t="s">
        <v>489</v>
      </c>
      <c r="CH39" t="s">
        <v>177</v>
      </c>
      <c r="CI39" t="s">
        <v>633</v>
      </c>
      <c r="CJ39" t="s">
        <v>474</v>
      </c>
      <c r="CK39" t="s">
        <v>281</v>
      </c>
      <c r="CL39" t="s">
        <v>486</v>
      </c>
      <c r="CM39" t="s">
        <v>529</v>
      </c>
      <c r="CN39" t="s">
        <v>582</v>
      </c>
      <c r="CO39" t="s">
        <v>522</v>
      </c>
      <c r="CP39" t="s">
        <v>474</v>
      </c>
      <c r="CQ39" t="s">
        <v>177</v>
      </c>
      <c r="CR39" t="s">
        <v>486</v>
      </c>
      <c r="CS39" t="s">
        <v>612</v>
      </c>
      <c r="CT39" t="s">
        <v>216</v>
      </c>
      <c r="CU39" t="s">
        <v>202</v>
      </c>
      <c r="CV39" t="s">
        <v>182</v>
      </c>
      <c r="CW39" t="s">
        <v>216</v>
      </c>
      <c r="CX39" t="s">
        <v>486</v>
      </c>
      <c r="CY39" t="s">
        <v>489</v>
      </c>
      <c r="CZ39" t="s">
        <v>217</v>
      </c>
      <c r="DA39" t="s">
        <v>213</v>
      </c>
      <c r="DB39" t="s">
        <v>203</v>
      </c>
      <c r="DC39" t="s">
        <v>216</v>
      </c>
      <c r="DD39" t="s">
        <v>557</v>
      </c>
      <c r="DE39" t="s">
        <v>588</v>
      </c>
      <c r="DF39" t="s">
        <v>215</v>
      </c>
      <c r="DG39" t="s">
        <v>557</v>
      </c>
      <c r="DH39" t="s">
        <v>203</v>
      </c>
      <c r="FH39" t="s">
        <v>1074</v>
      </c>
    </row>
    <row r="40" spans="1:164" x14ac:dyDescent="0.25">
      <c r="A40">
        <v>4</v>
      </c>
      <c r="B40" t="s">
        <v>164</v>
      </c>
      <c r="C40">
        <v>46</v>
      </c>
      <c r="D40">
        <v>4601</v>
      </c>
      <c r="E40">
        <v>874738042</v>
      </c>
      <c r="F40" t="s">
        <v>165</v>
      </c>
      <c r="G40" t="s">
        <v>166</v>
      </c>
      <c r="H40" t="s">
        <v>167</v>
      </c>
      <c r="I40" t="s">
        <v>1075</v>
      </c>
      <c r="J40" t="s">
        <v>1515</v>
      </c>
      <c r="K40" t="s">
        <v>1084</v>
      </c>
      <c r="L40" t="s">
        <v>604</v>
      </c>
      <c r="M40" t="s">
        <v>604</v>
      </c>
      <c r="N40" t="s">
        <v>731</v>
      </c>
      <c r="O40" t="s">
        <v>604</v>
      </c>
      <c r="P40" t="s">
        <v>907</v>
      </c>
      <c r="Q40" t="s">
        <v>519</v>
      </c>
      <c r="R40" t="s">
        <v>524</v>
      </c>
      <c r="T40" t="s">
        <v>697</v>
      </c>
      <c r="U40" t="s">
        <v>489</v>
      </c>
      <c r="V40" t="s">
        <v>210</v>
      </c>
      <c r="X40" t="s">
        <v>1076</v>
      </c>
      <c r="Y40" t="s">
        <v>171</v>
      </c>
      <c r="Z40" t="s">
        <v>203</v>
      </c>
      <c r="AB40" t="s">
        <v>1077</v>
      </c>
      <c r="AC40" t="s">
        <v>524</v>
      </c>
      <c r="AD40" t="s">
        <v>205</v>
      </c>
      <c r="AF40" t="s">
        <v>1078</v>
      </c>
      <c r="AG40" t="s">
        <v>489</v>
      </c>
      <c r="AH40" t="s">
        <v>177</v>
      </c>
      <c r="AJ40" t="s">
        <v>191</v>
      </c>
      <c r="AK40" t="s">
        <v>762</v>
      </c>
      <c r="AL40" t="s">
        <v>487</v>
      </c>
      <c r="AM40" t="s">
        <v>560</v>
      </c>
      <c r="AN40" t="s">
        <v>588</v>
      </c>
      <c r="AO40" t="s">
        <v>1079</v>
      </c>
      <c r="AP40" t="s">
        <v>1080</v>
      </c>
      <c r="AQ40" t="s">
        <v>202</v>
      </c>
      <c r="AR40" t="s">
        <v>524</v>
      </c>
      <c r="AS40" t="s">
        <v>812</v>
      </c>
      <c r="AT40" t="s">
        <v>1081</v>
      </c>
      <c r="AU40" t="s">
        <v>522</v>
      </c>
      <c r="AV40" t="s">
        <v>203</v>
      </c>
      <c r="AW40" t="s">
        <v>851</v>
      </c>
      <c r="AX40" t="s">
        <v>1082</v>
      </c>
      <c r="AY40" t="s">
        <v>206</v>
      </c>
      <c r="AZ40" t="s">
        <v>203</v>
      </c>
      <c r="BA40" t="s">
        <v>961</v>
      </c>
      <c r="BB40" t="s">
        <v>1083</v>
      </c>
      <c r="BC40" t="s">
        <v>211</v>
      </c>
      <c r="BD40">
        <v>1665</v>
      </c>
      <c r="BE40">
        <v>1709</v>
      </c>
      <c r="BF40">
        <v>1299</v>
      </c>
      <c r="BG40">
        <v>1705</v>
      </c>
      <c r="BH40">
        <v>1763</v>
      </c>
      <c r="BI40" t="s">
        <v>349</v>
      </c>
      <c r="BJ40" t="s">
        <v>350</v>
      </c>
      <c r="BK40" t="s">
        <v>263</v>
      </c>
      <c r="BL40" t="s">
        <v>480</v>
      </c>
      <c r="BM40" t="s">
        <v>266</v>
      </c>
      <c r="BN40" t="s">
        <v>170</v>
      </c>
      <c r="BO40" t="s">
        <v>633</v>
      </c>
      <c r="BP40" t="s">
        <v>173</v>
      </c>
      <c r="BQ40" t="s">
        <v>190</v>
      </c>
      <c r="BR40" t="s">
        <v>529</v>
      </c>
      <c r="BS40" t="s">
        <v>437</v>
      </c>
      <c r="BT40" t="s">
        <v>586</v>
      </c>
      <c r="BU40" t="s">
        <v>846</v>
      </c>
      <c r="BV40" t="s">
        <v>1027</v>
      </c>
      <c r="BW40" t="s">
        <v>433</v>
      </c>
      <c r="BX40" t="s">
        <v>676</v>
      </c>
      <c r="BY40" t="s">
        <v>216</v>
      </c>
      <c r="BZ40" t="s">
        <v>266</v>
      </c>
      <c r="CA40" t="s">
        <v>170</v>
      </c>
      <c r="CD40" t="s">
        <v>556</v>
      </c>
      <c r="CG40" t="s">
        <v>556</v>
      </c>
      <c r="CH40" t="s">
        <v>216</v>
      </c>
      <c r="CI40" t="s">
        <v>494</v>
      </c>
      <c r="CJ40" t="s">
        <v>182</v>
      </c>
      <c r="CK40" t="s">
        <v>217</v>
      </c>
      <c r="CL40" t="s">
        <v>494</v>
      </c>
      <c r="CM40" t="s">
        <v>612</v>
      </c>
      <c r="CN40" t="s">
        <v>525</v>
      </c>
      <c r="CO40" t="s">
        <v>630</v>
      </c>
      <c r="CP40" t="s">
        <v>182</v>
      </c>
      <c r="CQ40" t="s">
        <v>177</v>
      </c>
      <c r="CR40" t="s">
        <v>630</v>
      </c>
      <c r="CS40" t="s">
        <v>533</v>
      </c>
      <c r="CT40" t="s">
        <v>525</v>
      </c>
      <c r="CU40" t="s">
        <v>494</v>
      </c>
      <c r="CV40" t="s">
        <v>474</v>
      </c>
      <c r="CW40" t="s">
        <v>210</v>
      </c>
      <c r="CX40" t="s">
        <v>186</v>
      </c>
      <c r="CY40" t="s">
        <v>533</v>
      </c>
      <c r="CZ40" t="s">
        <v>174</v>
      </c>
      <c r="DA40" t="s">
        <v>721</v>
      </c>
      <c r="DB40" t="s">
        <v>512</v>
      </c>
      <c r="DC40" t="s">
        <v>525</v>
      </c>
      <c r="DD40" t="s">
        <v>629</v>
      </c>
      <c r="DE40" t="s">
        <v>512</v>
      </c>
      <c r="DF40" t="s">
        <v>210</v>
      </c>
      <c r="DG40" t="s">
        <v>198</v>
      </c>
      <c r="DH40" t="s">
        <v>512</v>
      </c>
      <c r="DI40" t="s">
        <v>210</v>
      </c>
      <c r="DJ40" t="s">
        <v>721</v>
      </c>
      <c r="DK40" t="s">
        <v>529</v>
      </c>
      <c r="DN40" t="s">
        <v>556</v>
      </c>
      <c r="DO40" t="s">
        <v>177</v>
      </c>
      <c r="DP40" t="s">
        <v>669</v>
      </c>
      <c r="DQ40" t="s">
        <v>678</v>
      </c>
      <c r="DR40" t="s">
        <v>207</v>
      </c>
      <c r="DS40" t="s">
        <v>566</v>
      </c>
      <c r="DT40" t="s">
        <v>818</v>
      </c>
      <c r="DU40" t="s">
        <v>215</v>
      </c>
      <c r="DV40" t="s">
        <v>669</v>
      </c>
      <c r="DW40" t="s">
        <v>682</v>
      </c>
      <c r="DX40" t="s">
        <v>216</v>
      </c>
      <c r="DY40" t="s">
        <v>669</v>
      </c>
      <c r="DZ40" t="s">
        <v>687</v>
      </c>
      <c r="EA40" t="s">
        <v>207</v>
      </c>
      <c r="EB40" t="s">
        <v>566</v>
      </c>
      <c r="EC40" t="s">
        <v>728</v>
      </c>
      <c r="ED40" t="s">
        <v>210</v>
      </c>
      <c r="EE40" t="s">
        <v>495</v>
      </c>
      <c r="EF40" t="s">
        <v>727</v>
      </c>
      <c r="EG40" t="s">
        <v>525</v>
      </c>
      <c r="EH40" t="s">
        <v>495</v>
      </c>
      <c r="EI40" t="s">
        <v>727</v>
      </c>
      <c r="EJ40" t="s">
        <v>281</v>
      </c>
      <c r="EK40" t="s">
        <v>566</v>
      </c>
      <c r="EL40" t="s">
        <v>692</v>
      </c>
      <c r="EM40" t="s">
        <v>210</v>
      </c>
      <c r="EN40" t="s">
        <v>644</v>
      </c>
      <c r="EO40" t="s">
        <v>732</v>
      </c>
      <c r="EP40" t="s">
        <v>177</v>
      </c>
      <c r="EQ40" t="s">
        <v>301</v>
      </c>
      <c r="ER40" t="s">
        <v>1043</v>
      </c>
      <c r="ES40" t="s">
        <v>731</v>
      </c>
      <c r="ET40" t="s">
        <v>731</v>
      </c>
      <c r="EU40" t="s">
        <v>687</v>
      </c>
      <c r="EV40" t="s">
        <v>300</v>
      </c>
      <c r="EW40" t="s">
        <v>731</v>
      </c>
      <c r="EX40" t="s">
        <v>722</v>
      </c>
      <c r="EY40">
        <v>80</v>
      </c>
      <c r="EZ40">
        <v>40</v>
      </c>
      <c r="FA40" t="s">
        <v>727</v>
      </c>
      <c r="FB40" t="s">
        <v>605</v>
      </c>
      <c r="FC40" t="s">
        <v>305</v>
      </c>
      <c r="FD40" t="s">
        <v>730</v>
      </c>
      <c r="FE40">
        <v>90</v>
      </c>
      <c r="FF40">
        <v>60</v>
      </c>
      <c r="FG40" t="s">
        <v>687</v>
      </c>
      <c r="FH40" t="s">
        <v>1084</v>
      </c>
    </row>
    <row r="41" spans="1:164" x14ac:dyDescent="0.25">
      <c r="A41">
        <v>4</v>
      </c>
      <c r="B41" t="s">
        <v>164</v>
      </c>
      <c r="C41">
        <v>46</v>
      </c>
      <c r="D41">
        <v>4601</v>
      </c>
      <c r="E41">
        <v>974737868</v>
      </c>
      <c r="F41" t="s">
        <v>165</v>
      </c>
      <c r="G41" t="s">
        <v>166</v>
      </c>
      <c r="H41" t="s">
        <v>167</v>
      </c>
      <c r="I41" t="s">
        <v>1085</v>
      </c>
      <c r="J41" t="s">
        <v>1516</v>
      </c>
      <c r="K41" t="s">
        <v>1099</v>
      </c>
      <c r="L41" t="s">
        <v>1243</v>
      </c>
      <c r="M41" t="s">
        <v>1196</v>
      </c>
      <c r="N41" t="s">
        <v>604</v>
      </c>
      <c r="O41" t="s">
        <v>604</v>
      </c>
      <c r="P41" t="s">
        <v>1086</v>
      </c>
      <c r="Q41" t="s">
        <v>212</v>
      </c>
      <c r="R41" t="s">
        <v>182</v>
      </c>
      <c r="T41" t="s">
        <v>1087</v>
      </c>
      <c r="U41" t="s">
        <v>519</v>
      </c>
      <c r="V41" t="s">
        <v>593</v>
      </c>
      <c r="X41" t="s">
        <v>1088</v>
      </c>
      <c r="Y41" t="s">
        <v>595</v>
      </c>
      <c r="Z41" t="s">
        <v>523</v>
      </c>
      <c r="AB41" t="s">
        <v>1089</v>
      </c>
      <c r="AC41" t="s">
        <v>524</v>
      </c>
      <c r="AD41" t="s">
        <v>177</v>
      </c>
      <c r="AF41" t="s">
        <v>1090</v>
      </c>
      <c r="AG41" t="s">
        <v>203</v>
      </c>
      <c r="AH41" t="s">
        <v>201</v>
      </c>
      <c r="AJ41" t="s">
        <v>215</v>
      </c>
      <c r="AK41" t="s">
        <v>830</v>
      </c>
      <c r="AL41" t="s">
        <v>832</v>
      </c>
      <c r="AM41" t="s">
        <v>1091</v>
      </c>
      <c r="AN41" t="s">
        <v>217</v>
      </c>
      <c r="AO41" t="s">
        <v>1092</v>
      </c>
      <c r="AP41" t="s">
        <v>1093</v>
      </c>
      <c r="AQ41" t="s">
        <v>645</v>
      </c>
      <c r="AR41" t="s">
        <v>525</v>
      </c>
      <c r="AS41" t="s">
        <v>846</v>
      </c>
      <c r="AT41" t="s">
        <v>1094</v>
      </c>
      <c r="AU41" t="s">
        <v>1095</v>
      </c>
      <c r="AV41" t="s">
        <v>209</v>
      </c>
      <c r="AW41" t="s">
        <v>823</v>
      </c>
      <c r="AX41" t="s">
        <v>1096</v>
      </c>
      <c r="AY41" t="s">
        <v>1097</v>
      </c>
      <c r="AZ41" t="s">
        <v>209</v>
      </c>
      <c r="BA41" t="s">
        <v>846</v>
      </c>
      <c r="BB41" t="s">
        <v>964</v>
      </c>
      <c r="BC41" t="s">
        <v>1098</v>
      </c>
      <c r="BD41">
        <v>1643</v>
      </c>
      <c r="BE41">
        <v>1561</v>
      </c>
      <c r="BF41">
        <v>1681</v>
      </c>
      <c r="BG41">
        <v>1652</v>
      </c>
      <c r="BH41">
        <v>1626</v>
      </c>
      <c r="BY41" t="s">
        <v>281</v>
      </c>
      <c r="BZ41" t="s">
        <v>204</v>
      </c>
      <c r="CA41" t="s">
        <v>201</v>
      </c>
      <c r="CB41" t="s">
        <v>201</v>
      </c>
      <c r="CC41" t="s">
        <v>214</v>
      </c>
      <c r="CD41" t="s">
        <v>201</v>
      </c>
      <c r="CE41" t="s">
        <v>281</v>
      </c>
      <c r="CF41" t="s">
        <v>494</v>
      </c>
      <c r="CG41" t="s">
        <v>201</v>
      </c>
      <c r="CH41" t="s">
        <v>207</v>
      </c>
      <c r="CI41" t="s">
        <v>497</v>
      </c>
      <c r="CJ41" t="s">
        <v>730</v>
      </c>
      <c r="CK41" t="s">
        <v>174</v>
      </c>
      <c r="CL41" t="s">
        <v>495</v>
      </c>
      <c r="CM41" t="s">
        <v>1027</v>
      </c>
      <c r="CN41" t="s">
        <v>281</v>
      </c>
      <c r="CO41" t="s">
        <v>213</v>
      </c>
      <c r="CP41" t="s">
        <v>1027</v>
      </c>
      <c r="CQ41" t="s">
        <v>281</v>
      </c>
      <c r="CR41" t="s">
        <v>497</v>
      </c>
      <c r="CS41" t="s">
        <v>727</v>
      </c>
      <c r="CT41" t="s">
        <v>496</v>
      </c>
      <c r="CU41" t="s">
        <v>301</v>
      </c>
      <c r="CV41" t="s">
        <v>727</v>
      </c>
      <c r="CW41" t="s">
        <v>205</v>
      </c>
      <c r="CX41" t="s">
        <v>495</v>
      </c>
      <c r="CY41" t="s">
        <v>727</v>
      </c>
      <c r="CZ41" t="s">
        <v>210</v>
      </c>
      <c r="DA41" t="s">
        <v>494</v>
      </c>
      <c r="DB41" t="s">
        <v>727</v>
      </c>
      <c r="DC41" t="s">
        <v>174</v>
      </c>
      <c r="DD41" t="s">
        <v>495</v>
      </c>
      <c r="DE41" t="s">
        <v>727</v>
      </c>
      <c r="DF41" t="s">
        <v>207</v>
      </c>
      <c r="DG41" t="s">
        <v>213</v>
      </c>
      <c r="DH41" t="s">
        <v>727</v>
      </c>
      <c r="FH41" t="s">
        <v>1099</v>
      </c>
    </row>
    <row r="42" spans="1:164" x14ac:dyDescent="0.25">
      <c r="A42">
        <v>4</v>
      </c>
      <c r="B42" t="s">
        <v>164</v>
      </c>
      <c r="C42">
        <v>46</v>
      </c>
      <c r="D42">
        <v>4601</v>
      </c>
      <c r="E42">
        <v>874738662</v>
      </c>
      <c r="F42" t="s">
        <v>165</v>
      </c>
      <c r="G42" t="s">
        <v>166</v>
      </c>
      <c r="H42" t="s">
        <v>167</v>
      </c>
      <c r="I42" t="s">
        <v>1100</v>
      </c>
      <c r="J42" t="s">
        <v>1517</v>
      </c>
      <c r="K42" t="s">
        <v>1106</v>
      </c>
      <c r="L42" t="s">
        <v>809</v>
      </c>
      <c r="M42" t="s">
        <v>809</v>
      </c>
      <c r="N42" t="s">
        <v>731</v>
      </c>
      <c r="O42" t="s">
        <v>731</v>
      </c>
      <c r="P42" t="s">
        <v>1101</v>
      </c>
      <c r="Q42" t="s">
        <v>474</v>
      </c>
      <c r="R42" t="s">
        <v>501</v>
      </c>
      <c r="T42" t="s">
        <v>1102</v>
      </c>
      <c r="U42" t="s">
        <v>533</v>
      </c>
      <c r="V42" t="s">
        <v>476</v>
      </c>
      <c r="X42" t="s">
        <v>981</v>
      </c>
      <c r="Y42" t="s">
        <v>512</v>
      </c>
      <c r="Z42" t="s">
        <v>179</v>
      </c>
      <c r="AB42" t="s">
        <v>1103</v>
      </c>
      <c r="AC42" t="s">
        <v>170</v>
      </c>
      <c r="AD42" t="s">
        <v>176</v>
      </c>
      <c r="AF42" t="s">
        <v>981</v>
      </c>
      <c r="AG42" t="s">
        <v>473</v>
      </c>
      <c r="AH42" t="s">
        <v>473</v>
      </c>
      <c r="AJ42" t="s">
        <v>173</v>
      </c>
      <c r="AK42" t="s">
        <v>902</v>
      </c>
      <c r="AL42" t="s">
        <v>1048</v>
      </c>
      <c r="AM42" t="s">
        <v>206</v>
      </c>
      <c r="AN42" t="s">
        <v>529</v>
      </c>
      <c r="AO42" t="s">
        <v>1104</v>
      </c>
      <c r="AP42" t="s">
        <v>1073</v>
      </c>
      <c r="AQ42" t="s">
        <v>522</v>
      </c>
      <c r="AR42" t="s">
        <v>474</v>
      </c>
      <c r="AS42" t="s">
        <v>699</v>
      </c>
      <c r="AT42" t="s">
        <v>1105</v>
      </c>
      <c r="AU42" t="s">
        <v>214</v>
      </c>
      <c r="AV42" t="s">
        <v>474</v>
      </c>
      <c r="AW42" t="s">
        <v>795</v>
      </c>
      <c r="AX42" t="s">
        <v>673</v>
      </c>
      <c r="AY42" t="s">
        <v>630</v>
      </c>
      <c r="AZ42" t="s">
        <v>529</v>
      </c>
      <c r="BA42" t="s">
        <v>622</v>
      </c>
      <c r="BB42" t="s">
        <v>672</v>
      </c>
      <c r="BC42" t="s">
        <v>211</v>
      </c>
      <c r="BD42">
        <v>1694</v>
      </c>
      <c r="BE42">
        <v>1584</v>
      </c>
      <c r="BF42">
        <v>1632</v>
      </c>
      <c r="BG42">
        <v>1506</v>
      </c>
      <c r="BH42">
        <v>1499</v>
      </c>
      <c r="BY42" t="s">
        <v>281</v>
      </c>
      <c r="BZ42" t="s">
        <v>211</v>
      </c>
      <c r="CA42" t="s">
        <v>593</v>
      </c>
      <c r="CB42" t="s">
        <v>177</v>
      </c>
      <c r="CC42" t="s">
        <v>206</v>
      </c>
      <c r="CD42" t="s">
        <v>593</v>
      </c>
      <c r="CE42" t="s">
        <v>216</v>
      </c>
      <c r="CF42" t="s">
        <v>208</v>
      </c>
      <c r="CG42" t="s">
        <v>593</v>
      </c>
      <c r="CH42" t="s">
        <v>174</v>
      </c>
      <c r="CI42" t="s">
        <v>721</v>
      </c>
      <c r="CJ42" t="s">
        <v>179</v>
      </c>
      <c r="CK42" t="s">
        <v>177</v>
      </c>
      <c r="CL42" t="s">
        <v>204</v>
      </c>
      <c r="CM42" t="s">
        <v>489</v>
      </c>
      <c r="CN42" t="s">
        <v>174</v>
      </c>
      <c r="CO42" t="s">
        <v>495</v>
      </c>
      <c r="CP42" t="s">
        <v>179</v>
      </c>
      <c r="CQ42" t="s">
        <v>201</v>
      </c>
      <c r="CR42" t="s">
        <v>206</v>
      </c>
      <c r="CS42" t="s">
        <v>182</v>
      </c>
      <c r="CT42" t="s">
        <v>217</v>
      </c>
      <c r="CU42" t="s">
        <v>206</v>
      </c>
      <c r="CV42" t="s">
        <v>182</v>
      </c>
      <c r="CW42" t="s">
        <v>215</v>
      </c>
      <c r="CX42" t="s">
        <v>522</v>
      </c>
      <c r="CY42" t="s">
        <v>176</v>
      </c>
      <c r="CZ42" t="s">
        <v>207</v>
      </c>
      <c r="DA42" t="s">
        <v>211</v>
      </c>
      <c r="DB42" t="s">
        <v>212</v>
      </c>
      <c r="DC42" t="s">
        <v>217</v>
      </c>
      <c r="DD42" t="s">
        <v>494</v>
      </c>
      <c r="DE42" t="s">
        <v>212</v>
      </c>
      <c r="DF42" t="s">
        <v>217</v>
      </c>
      <c r="DG42" t="s">
        <v>486</v>
      </c>
      <c r="DH42" t="s">
        <v>212</v>
      </c>
      <c r="FH42" t="s">
        <v>1106</v>
      </c>
    </row>
    <row r="43" spans="1:164" x14ac:dyDescent="0.25">
      <c r="A43">
        <v>4</v>
      </c>
      <c r="B43" t="s">
        <v>164</v>
      </c>
      <c r="C43">
        <v>46</v>
      </c>
      <c r="D43">
        <v>4601</v>
      </c>
      <c r="E43">
        <v>974738279</v>
      </c>
      <c r="F43" t="s">
        <v>165</v>
      </c>
      <c r="G43" t="s">
        <v>166</v>
      </c>
      <c r="H43" t="s">
        <v>167</v>
      </c>
      <c r="I43" t="s">
        <v>1107</v>
      </c>
      <c r="J43" t="s">
        <v>1518</v>
      </c>
      <c r="K43" t="s">
        <v>1113</v>
      </c>
      <c r="L43" t="s">
        <v>1197</v>
      </c>
      <c r="M43" t="s">
        <v>607</v>
      </c>
      <c r="N43" t="s">
        <v>731</v>
      </c>
      <c r="O43" t="s">
        <v>731</v>
      </c>
      <c r="P43" t="s">
        <v>793</v>
      </c>
      <c r="Q43" t="s">
        <v>480</v>
      </c>
      <c r="R43" t="s">
        <v>529</v>
      </c>
      <c r="T43" t="s">
        <v>1108</v>
      </c>
      <c r="U43" t="s">
        <v>533</v>
      </c>
      <c r="V43" t="s">
        <v>581</v>
      </c>
      <c r="X43" t="s">
        <v>1109</v>
      </c>
      <c r="Y43" t="s">
        <v>489</v>
      </c>
      <c r="Z43" t="s">
        <v>529</v>
      </c>
      <c r="AB43" t="s">
        <v>1110</v>
      </c>
      <c r="AC43" t="s">
        <v>533</v>
      </c>
      <c r="AD43" t="s">
        <v>182</v>
      </c>
      <c r="AF43" t="s">
        <v>1111</v>
      </c>
      <c r="AG43" t="s">
        <v>182</v>
      </c>
      <c r="AH43" t="s">
        <v>480</v>
      </c>
      <c r="AJ43" t="s">
        <v>474</v>
      </c>
      <c r="AK43" t="s">
        <v>511</v>
      </c>
      <c r="AL43" t="s">
        <v>902</v>
      </c>
      <c r="AM43" t="s">
        <v>564</v>
      </c>
      <c r="AN43" t="s">
        <v>533</v>
      </c>
      <c r="AO43" t="s">
        <v>1112</v>
      </c>
      <c r="AP43" t="s">
        <v>660</v>
      </c>
      <c r="AQ43" t="s">
        <v>522</v>
      </c>
      <c r="AR43" t="s">
        <v>512</v>
      </c>
      <c r="AS43" t="s">
        <v>482</v>
      </c>
      <c r="AT43" t="s">
        <v>622</v>
      </c>
      <c r="AU43" t="s">
        <v>623</v>
      </c>
      <c r="AV43" t="s">
        <v>512</v>
      </c>
      <c r="AW43" t="s">
        <v>483</v>
      </c>
      <c r="AX43" t="s">
        <v>521</v>
      </c>
      <c r="AY43" t="s">
        <v>186</v>
      </c>
      <c r="AZ43" t="s">
        <v>182</v>
      </c>
      <c r="BA43" t="s">
        <v>484</v>
      </c>
      <c r="BB43" t="s">
        <v>904</v>
      </c>
      <c r="BC43" t="s">
        <v>306</v>
      </c>
      <c r="BD43">
        <v>1497</v>
      </c>
      <c r="BE43">
        <v>1526</v>
      </c>
      <c r="BF43">
        <v>1566</v>
      </c>
      <c r="BG43">
        <v>1621</v>
      </c>
      <c r="BH43">
        <v>1591</v>
      </c>
      <c r="BY43" t="s">
        <v>174</v>
      </c>
      <c r="BZ43" t="s">
        <v>263</v>
      </c>
      <c r="CA43" t="s">
        <v>179</v>
      </c>
      <c r="CB43" t="s">
        <v>205</v>
      </c>
      <c r="CC43" t="s">
        <v>630</v>
      </c>
      <c r="CD43" t="s">
        <v>179</v>
      </c>
      <c r="CE43" t="s">
        <v>496</v>
      </c>
      <c r="CF43" t="s">
        <v>486</v>
      </c>
      <c r="CG43" t="s">
        <v>179</v>
      </c>
      <c r="CH43" t="s">
        <v>217</v>
      </c>
      <c r="CI43" t="s">
        <v>721</v>
      </c>
      <c r="CJ43" t="s">
        <v>512</v>
      </c>
      <c r="CK43" t="s">
        <v>177</v>
      </c>
      <c r="CL43" t="s">
        <v>497</v>
      </c>
      <c r="CM43" t="s">
        <v>519</v>
      </c>
      <c r="CN43" t="s">
        <v>207</v>
      </c>
      <c r="CO43" t="s">
        <v>204</v>
      </c>
      <c r="CP43" t="s">
        <v>512</v>
      </c>
      <c r="CQ43" t="s">
        <v>207</v>
      </c>
      <c r="CR43" t="s">
        <v>213</v>
      </c>
      <c r="CS43" t="s">
        <v>216</v>
      </c>
      <c r="CT43" t="s">
        <v>216</v>
      </c>
      <c r="CU43" t="s">
        <v>494</v>
      </c>
      <c r="CV43" t="s">
        <v>210</v>
      </c>
      <c r="CW43" t="s">
        <v>177</v>
      </c>
      <c r="CX43" t="s">
        <v>494</v>
      </c>
      <c r="CY43" t="s">
        <v>210</v>
      </c>
      <c r="CZ43" t="s">
        <v>177</v>
      </c>
      <c r="DA43" t="s">
        <v>494</v>
      </c>
      <c r="DB43" t="s">
        <v>210</v>
      </c>
      <c r="DC43" t="s">
        <v>215</v>
      </c>
      <c r="DD43" t="s">
        <v>204</v>
      </c>
      <c r="DE43" t="s">
        <v>210</v>
      </c>
      <c r="DF43" t="s">
        <v>216</v>
      </c>
      <c r="DG43" t="s">
        <v>211</v>
      </c>
      <c r="DH43" t="s">
        <v>210</v>
      </c>
      <c r="FH43" t="s">
        <v>1113</v>
      </c>
    </row>
    <row r="44" spans="1:164" x14ac:dyDescent="0.25">
      <c r="A44">
        <v>4</v>
      </c>
      <c r="B44" t="s">
        <v>164</v>
      </c>
      <c r="C44">
        <v>46</v>
      </c>
      <c r="D44">
        <v>4601</v>
      </c>
      <c r="E44">
        <v>974738589</v>
      </c>
      <c r="F44" t="s">
        <v>165</v>
      </c>
      <c r="G44" t="s">
        <v>166</v>
      </c>
      <c r="H44" t="s">
        <v>167</v>
      </c>
      <c r="I44" t="s">
        <v>1114</v>
      </c>
      <c r="J44" t="s">
        <v>1519</v>
      </c>
      <c r="K44" t="s">
        <v>1123</v>
      </c>
      <c r="L44" t="s">
        <v>604</v>
      </c>
      <c r="M44" t="s">
        <v>604</v>
      </c>
      <c r="N44" t="s">
        <v>731</v>
      </c>
      <c r="O44" t="s">
        <v>731</v>
      </c>
      <c r="P44" t="s">
        <v>891</v>
      </c>
      <c r="Q44" t="s">
        <v>281</v>
      </c>
      <c r="R44" t="s">
        <v>207</v>
      </c>
      <c r="T44" t="s">
        <v>1115</v>
      </c>
      <c r="U44" t="s">
        <v>201</v>
      </c>
      <c r="V44" t="s">
        <v>212</v>
      </c>
      <c r="X44" t="s">
        <v>1116</v>
      </c>
      <c r="Y44" t="s">
        <v>281</v>
      </c>
      <c r="Z44" t="s">
        <v>217</v>
      </c>
      <c r="AB44" t="s">
        <v>737</v>
      </c>
      <c r="AC44" t="s">
        <v>216</v>
      </c>
      <c r="AD44" t="s">
        <v>179</v>
      </c>
      <c r="AF44" t="s">
        <v>862</v>
      </c>
      <c r="AG44" t="s">
        <v>215</v>
      </c>
      <c r="AH44" t="s">
        <v>501</v>
      </c>
      <c r="AJ44" t="s">
        <v>612</v>
      </c>
      <c r="AK44" t="s">
        <v>597</v>
      </c>
      <c r="AL44" t="s">
        <v>1117</v>
      </c>
      <c r="AM44" t="s">
        <v>1118</v>
      </c>
      <c r="AN44" t="s">
        <v>176</v>
      </c>
      <c r="AO44" t="s">
        <v>799</v>
      </c>
      <c r="AP44" t="s">
        <v>1119</v>
      </c>
      <c r="AQ44" t="s">
        <v>742</v>
      </c>
      <c r="AR44" t="s">
        <v>512</v>
      </c>
      <c r="AS44" t="s">
        <v>520</v>
      </c>
      <c r="AT44" t="s">
        <v>515</v>
      </c>
      <c r="AU44" t="s">
        <v>1120</v>
      </c>
      <c r="AV44" t="s">
        <v>533</v>
      </c>
      <c r="AW44" t="s">
        <v>1121</v>
      </c>
      <c r="AX44" t="s">
        <v>617</v>
      </c>
      <c r="AY44" t="s">
        <v>1122</v>
      </c>
      <c r="AZ44" t="s">
        <v>474</v>
      </c>
      <c r="BA44" t="s">
        <v>1119</v>
      </c>
      <c r="BB44" t="s">
        <v>657</v>
      </c>
      <c r="BC44" t="s">
        <v>903</v>
      </c>
      <c r="BD44">
        <v>1036</v>
      </c>
      <c r="BE44">
        <v>1451</v>
      </c>
      <c r="BF44">
        <v>1625</v>
      </c>
      <c r="BG44">
        <v>1548</v>
      </c>
      <c r="BH44">
        <v>1571</v>
      </c>
      <c r="BY44" t="s">
        <v>207</v>
      </c>
      <c r="BZ44" t="s">
        <v>351</v>
      </c>
      <c r="CA44" t="s">
        <v>473</v>
      </c>
      <c r="CB44" t="s">
        <v>212</v>
      </c>
      <c r="CC44" t="s">
        <v>198</v>
      </c>
      <c r="CD44" t="s">
        <v>473</v>
      </c>
      <c r="CE44" t="s">
        <v>525</v>
      </c>
      <c r="CF44" t="s">
        <v>186</v>
      </c>
      <c r="CG44" t="s">
        <v>473</v>
      </c>
      <c r="CH44" t="s">
        <v>216</v>
      </c>
      <c r="CI44" t="s">
        <v>208</v>
      </c>
      <c r="CJ44" t="s">
        <v>519</v>
      </c>
      <c r="CK44" t="s">
        <v>217</v>
      </c>
      <c r="CL44" t="s">
        <v>630</v>
      </c>
      <c r="CM44" t="s">
        <v>519</v>
      </c>
      <c r="CN44" t="s">
        <v>217</v>
      </c>
      <c r="CO44" t="s">
        <v>630</v>
      </c>
      <c r="CP44" t="s">
        <v>512</v>
      </c>
      <c r="CQ44" t="s">
        <v>604</v>
      </c>
      <c r="CR44" t="s">
        <v>604</v>
      </c>
      <c r="CS44" t="s">
        <v>604</v>
      </c>
      <c r="CT44" t="s">
        <v>177</v>
      </c>
      <c r="CU44" t="s">
        <v>644</v>
      </c>
      <c r="CV44" t="s">
        <v>580</v>
      </c>
      <c r="CW44" t="s">
        <v>604</v>
      </c>
      <c r="CX44" t="s">
        <v>604</v>
      </c>
      <c r="CY44" t="s">
        <v>604</v>
      </c>
      <c r="CZ44" t="s">
        <v>281</v>
      </c>
      <c r="DA44" t="s">
        <v>190</v>
      </c>
      <c r="DB44" t="s">
        <v>173</v>
      </c>
      <c r="DC44" t="s">
        <v>217</v>
      </c>
      <c r="DD44" t="s">
        <v>522</v>
      </c>
      <c r="DE44" t="s">
        <v>173</v>
      </c>
      <c r="DF44" t="s">
        <v>209</v>
      </c>
      <c r="DG44" t="s">
        <v>522</v>
      </c>
      <c r="DH44" t="s">
        <v>529</v>
      </c>
      <c r="FH44" t="s">
        <v>1123</v>
      </c>
    </row>
    <row r="45" spans="1:164" x14ac:dyDescent="0.25">
      <c r="A45">
        <v>4</v>
      </c>
      <c r="B45" t="s">
        <v>164</v>
      </c>
      <c r="C45">
        <v>46</v>
      </c>
      <c r="D45">
        <v>4601</v>
      </c>
      <c r="E45">
        <v>974738112</v>
      </c>
      <c r="F45" t="s">
        <v>165</v>
      </c>
      <c r="G45" t="s">
        <v>166</v>
      </c>
      <c r="H45" t="s">
        <v>167</v>
      </c>
      <c r="I45" t="s">
        <v>1124</v>
      </c>
      <c r="J45" t="s">
        <v>1520</v>
      </c>
      <c r="K45" t="s">
        <v>1125</v>
      </c>
      <c r="L45" t="s">
        <v>794</v>
      </c>
      <c r="M45" t="s">
        <v>511</v>
      </c>
      <c r="N45" t="s">
        <v>604</v>
      </c>
      <c r="O45" t="s">
        <v>1441</v>
      </c>
      <c r="P45" t="s">
        <v>804</v>
      </c>
      <c r="Q45" t="s">
        <v>473</v>
      </c>
      <c r="R45" t="s">
        <v>473</v>
      </c>
      <c r="T45" t="s">
        <v>804</v>
      </c>
      <c r="U45" t="s">
        <v>580</v>
      </c>
      <c r="V45" t="s">
        <v>182</v>
      </c>
      <c r="X45" t="s">
        <v>804</v>
      </c>
      <c r="Y45" t="s">
        <v>473</v>
      </c>
      <c r="Z45" t="s">
        <v>170</v>
      </c>
      <c r="AB45" t="s">
        <v>981</v>
      </c>
      <c r="AC45" t="s">
        <v>529</v>
      </c>
      <c r="AD45" t="s">
        <v>533</v>
      </c>
      <c r="AF45" t="s">
        <v>979</v>
      </c>
      <c r="AG45" t="s">
        <v>533</v>
      </c>
      <c r="AH45" t="s">
        <v>173</v>
      </c>
      <c r="AJ45" t="s">
        <v>182</v>
      </c>
      <c r="AK45" t="s">
        <v>801</v>
      </c>
      <c r="AL45" t="s">
        <v>699</v>
      </c>
      <c r="AM45" t="s">
        <v>263</v>
      </c>
      <c r="AN45" t="s">
        <v>182</v>
      </c>
      <c r="AO45" t="s">
        <v>483</v>
      </c>
      <c r="AP45" t="s">
        <v>622</v>
      </c>
      <c r="AQ45" t="s">
        <v>629</v>
      </c>
      <c r="AR45" t="s">
        <v>612</v>
      </c>
      <c r="AS45" t="s">
        <v>801</v>
      </c>
      <c r="AT45" t="s">
        <v>982</v>
      </c>
      <c r="AU45" t="s">
        <v>633</v>
      </c>
      <c r="AV45" t="s">
        <v>182</v>
      </c>
      <c r="AW45" t="s">
        <v>1121</v>
      </c>
      <c r="AX45" t="s">
        <v>673</v>
      </c>
      <c r="AY45" t="s">
        <v>631</v>
      </c>
      <c r="AZ45" t="s">
        <v>182</v>
      </c>
      <c r="BA45" t="s">
        <v>491</v>
      </c>
      <c r="BB45" t="s">
        <v>667</v>
      </c>
      <c r="BC45" t="s">
        <v>190</v>
      </c>
      <c r="BD45">
        <v>1455</v>
      </c>
      <c r="BE45">
        <v>1322</v>
      </c>
      <c r="BF45">
        <v>1435</v>
      </c>
      <c r="BG45">
        <v>1409</v>
      </c>
      <c r="BH45">
        <v>1410</v>
      </c>
      <c r="BY45" t="s">
        <v>201</v>
      </c>
      <c r="BZ45" t="s">
        <v>495</v>
      </c>
      <c r="CA45" t="s">
        <v>524</v>
      </c>
      <c r="CB45" t="s">
        <v>183</v>
      </c>
      <c r="CC45" t="s">
        <v>204</v>
      </c>
      <c r="CD45" t="s">
        <v>203</v>
      </c>
      <c r="CE45" t="s">
        <v>205</v>
      </c>
      <c r="CF45" t="s">
        <v>486</v>
      </c>
      <c r="CG45" t="s">
        <v>524</v>
      </c>
      <c r="CH45" t="s">
        <v>210</v>
      </c>
      <c r="CI45" t="s">
        <v>208</v>
      </c>
      <c r="CJ45" t="s">
        <v>593</v>
      </c>
      <c r="CK45" t="s">
        <v>216</v>
      </c>
      <c r="CL45" t="s">
        <v>494</v>
      </c>
      <c r="CM45" t="s">
        <v>195</v>
      </c>
      <c r="CN45" t="s">
        <v>177</v>
      </c>
      <c r="CO45" t="s">
        <v>206</v>
      </c>
      <c r="CP45" t="s">
        <v>195</v>
      </c>
      <c r="CQ45" t="s">
        <v>177</v>
      </c>
      <c r="CR45" t="s">
        <v>202</v>
      </c>
      <c r="CS45" t="s">
        <v>187</v>
      </c>
      <c r="CT45" t="s">
        <v>210</v>
      </c>
      <c r="CU45" t="s">
        <v>630</v>
      </c>
      <c r="CV45" t="s">
        <v>195</v>
      </c>
      <c r="CW45" t="s">
        <v>177</v>
      </c>
      <c r="CX45" t="s">
        <v>522</v>
      </c>
      <c r="CY45" t="s">
        <v>195</v>
      </c>
      <c r="CZ45" t="s">
        <v>177</v>
      </c>
      <c r="DA45" t="s">
        <v>522</v>
      </c>
      <c r="DB45" t="s">
        <v>191</v>
      </c>
      <c r="DC45" t="s">
        <v>217</v>
      </c>
      <c r="DD45" t="s">
        <v>202</v>
      </c>
      <c r="DE45" t="s">
        <v>191</v>
      </c>
      <c r="DF45" t="s">
        <v>210</v>
      </c>
      <c r="DG45" t="s">
        <v>721</v>
      </c>
      <c r="DH45" t="s">
        <v>191</v>
      </c>
      <c r="FH45" t="s">
        <v>1125</v>
      </c>
    </row>
    <row r="46" spans="1:164" x14ac:dyDescent="0.25">
      <c r="A46">
        <v>4</v>
      </c>
      <c r="B46" t="s">
        <v>164</v>
      </c>
      <c r="C46">
        <v>46</v>
      </c>
      <c r="D46">
        <v>4601</v>
      </c>
      <c r="E46">
        <v>974738538</v>
      </c>
      <c r="F46" t="s">
        <v>165</v>
      </c>
      <c r="G46" t="s">
        <v>166</v>
      </c>
      <c r="H46" t="s">
        <v>167</v>
      </c>
      <c r="I46" t="s">
        <v>1126</v>
      </c>
      <c r="J46" t="s">
        <v>1521</v>
      </c>
      <c r="K46" t="s">
        <v>1128</v>
      </c>
      <c r="L46" t="s">
        <v>776</v>
      </c>
      <c r="M46" t="s">
        <v>574</v>
      </c>
      <c r="N46" t="s">
        <v>604</v>
      </c>
      <c r="O46" t="s">
        <v>305</v>
      </c>
      <c r="P46" t="s">
        <v>1047</v>
      </c>
      <c r="Q46" t="s">
        <v>481</v>
      </c>
      <c r="R46" t="s">
        <v>174</v>
      </c>
      <c r="T46" t="s">
        <v>615</v>
      </c>
      <c r="U46" t="s">
        <v>508</v>
      </c>
      <c r="V46" t="s">
        <v>281</v>
      </c>
      <c r="X46" t="s">
        <v>1127</v>
      </c>
      <c r="Y46" t="s">
        <v>604</v>
      </c>
      <c r="Z46" t="s">
        <v>177</v>
      </c>
      <c r="AB46" t="s">
        <v>766</v>
      </c>
      <c r="AC46" t="s">
        <v>481</v>
      </c>
      <c r="AD46" t="s">
        <v>177</v>
      </c>
      <c r="AF46" t="s">
        <v>614</v>
      </c>
      <c r="AG46" t="s">
        <v>508</v>
      </c>
      <c r="AH46" t="s">
        <v>179</v>
      </c>
      <c r="AJ46" t="s">
        <v>173</v>
      </c>
      <c r="AK46" t="s">
        <v>982</v>
      </c>
      <c r="AL46" t="s">
        <v>617</v>
      </c>
      <c r="AM46" t="s">
        <v>669</v>
      </c>
      <c r="AN46" t="s">
        <v>473</v>
      </c>
      <c r="AO46" t="s">
        <v>516</v>
      </c>
      <c r="AP46" t="s">
        <v>1072</v>
      </c>
      <c r="AQ46" t="s">
        <v>214</v>
      </c>
      <c r="AR46" t="s">
        <v>474</v>
      </c>
      <c r="AS46" t="s">
        <v>985</v>
      </c>
      <c r="AT46" t="s">
        <v>719</v>
      </c>
      <c r="AU46" t="s">
        <v>564</v>
      </c>
      <c r="AV46" t="s">
        <v>474</v>
      </c>
      <c r="AW46" t="s">
        <v>699</v>
      </c>
      <c r="AX46" t="s">
        <v>617</v>
      </c>
      <c r="AY46" t="s">
        <v>557</v>
      </c>
      <c r="AZ46" t="s">
        <v>173</v>
      </c>
      <c r="BA46" t="s">
        <v>1105</v>
      </c>
      <c r="BB46" t="s">
        <v>805</v>
      </c>
      <c r="BC46" t="s">
        <v>644</v>
      </c>
      <c r="BD46">
        <v>1407</v>
      </c>
      <c r="BE46">
        <v>1413</v>
      </c>
      <c r="BF46">
        <v>1483</v>
      </c>
      <c r="BG46">
        <v>1334</v>
      </c>
      <c r="BH46">
        <v>1432</v>
      </c>
      <c r="BY46" t="s">
        <v>281</v>
      </c>
      <c r="BZ46" t="s">
        <v>202</v>
      </c>
      <c r="CA46" t="s">
        <v>203</v>
      </c>
      <c r="CB46" t="s">
        <v>177</v>
      </c>
      <c r="CC46" t="s">
        <v>211</v>
      </c>
      <c r="CD46" t="s">
        <v>203</v>
      </c>
      <c r="CE46" t="s">
        <v>210</v>
      </c>
      <c r="CF46" t="s">
        <v>202</v>
      </c>
      <c r="CG46" t="s">
        <v>588</v>
      </c>
      <c r="CH46" t="s">
        <v>281</v>
      </c>
      <c r="CI46" t="s">
        <v>630</v>
      </c>
      <c r="CJ46" t="s">
        <v>195</v>
      </c>
      <c r="CK46" t="s">
        <v>215</v>
      </c>
      <c r="CL46" t="s">
        <v>211</v>
      </c>
      <c r="CM46" t="s">
        <v>195</v>
      </c>
      <c r="CN46" t="s">
        <v>216</v>
      </c>
      <c r="CO46" t="s">
        <v>208</v>
      </c>
      <c r="CP46" t="s">
        <v>195</v>
      </c>
      <c r="CQ46" t="s">
        <v>201</v>
      </c>
      <c r="CR46" t="s">
        <v>557</v>
      </c>
      <c r="CS46" t="s">
        <v>595</v>
      </c>
      <c r="CT46" t="s">
        <v>281</v>
      </c>
      <c r="CU46" t="s">
        <v>202</v>
      </c>
      <c r="CV46" t="s">
        <v>171</v>
      </c>
      <c r="CW46" t="s">
        <v>216</v>
      </c>
      <c r="CX46" t="s">
        <v>213</v>
      </c>
      <c r="CY46" t="s">
        <v>171</v>
      </c>
      <c r="CZ46" t="s">
        <v>174</v>
      </c>
      <c r="DA46" t="s">
        <v>497</v>
      </c>
      <c r="DB46" t="s">
        <v>195</v>
      </c>
      <c r="DC46" t="s">
        <v>210</v>
      </c>
      <c r="DD46" t="s">
        <v>214</v>
      </c>
      <c r="DE46" t="s">
        <v>195</v>
      </c>
      <c r="DF46" t="s">
        <v>210</v>
      </c>
      <c r="DG46" t="s">
        <v>557</v>
      </c>
      <c r="DH46" t="s">
        <v>195</v>
      </c>
      <c r="FH46" t="s">
        <v>1128</v>
      </c>
    </row>
    <row r="47" spans="1:164" x14ac:dyDescent="0.25">
      <c r="A47">
        <v>4</v>
      </c>
      <c r="B47" t="s">
        <v>164</v>
      </c>
      <c r="C47">
        <v>46</v>
      </c>
      <c r="D47">
        <v>4601</v>
      </c>
      <c r="E47">
        <v>974738481</v>
      </c>
      <c r="F47" t="s">
        <v>165</v>
      </c>
      <c r="G47" t="s">
        <v>166</v>
      </c>
      <c r="H47" t="s">
        <v>167</v>
      </c>
      <c r="I47" t="s">
        <v>1129</v>
      </c>
      <c r="J47" t="s">
        <v>1522</v>
      </c>
      <c r="K47" t="s">
        <v>1140</v>
      </c>
      <c r="P47" t="s">
        <v>1130</v>
      </c>
      <c r="Q47" t="s">
        <v>504</v>
      </c>
      <c r="R47" t="s">
        <v>505</v>
      </c>
      <c r="T47" t="s">
        <v>924</v>
      </c>
      <c r="U47" t="s">
        <v>480</v>
      </c>
      <c r="V47" t="s">
        <v>512</v>
      </c>
      <c r="X47" t="s">
        <v>750</v>
      </c>
      <c r="Y47" t="s">
        <v>480</v>
      </c>
      <c r="Z47" t="s">
        <v>593</v>
      </c>
      <c r="AB47" t="s">
        <v>1053</v>
      </c>
      <c r="AC47" t="s">
        <v>608</v>
      </c>
      <c r="AD47" t="s">
        <v>524</v>
      </c>
      <c r="AF47" t="s">
        <v>779</v>
      </c>
      <c r="AG47" t="s">
        <v>604</v>
      </c>
      <c r="AH47" t="s">
        <v>612</v>
      </c>
      <c r="AJ47" t="s">
        <v>595</v>
      </c>
      <c r="AK47" t="s">
        <v>1131</v>
      </c>
      <c r="AL47" t="s">
        <v>758</v>
      </c>
      <c r="AM47" t="s">
        <v>214</v>
      </c>
      <c r="AN47" t="s">
        <v>588</v>
      </c>
      <c r="AO47" t="s">
        <v>1132</v>
      </c>
      <c r="AP47" t="s">
        <v>1133</v>
      </c>
      <c r="AQ47" t="s">
        <v>214</v>
      </c>
      <c r="AR47" t="s">
        <v>212</v>
      </c>
      <c r="AS47" t="s">
        <v>847</v>
      </c>
      <c r="AT47" t="s">
        <v>1134</v>
      </c>
      <c r="AU47" t="s">
        <v>214</v>
      </c>
      <c r="AV47" t="s">
        <v>217</v>
      </c>
      <c r="AW47" t="s">
        <v>1135</v>
      </c>
      <c r="AX47" t="s">
        <v>1136</v>
      </c>
      <c r="AY47" t="s">
        <v>301</v>
      </c>
      <c r="AZ47" t="s">
        <v>217</v>
      </c>
      <c r="BA47" t="s">
        <v>964</v>
      </c>
      <c r="BB47" t="s">
        <v>1061</v>
      </c>
      <c r="BC47" t="s">
        <v>301</v>
      </c>
      <c r="BD47">
        <v>1773</v>
      </c>
      <c r="BE47">
        <v>1881</v>
      </c>
      <c r="BF47">
        <v>1741</v>
      </c>
      <c r="BG47">
        <v>1794</v>
      </c>
      <c r="BH47">
        <v>1566</v>
      </c>
      <c r="BI47" t="s">
        <v>349</v>
      </c>
      <c r="BJ47" t="s">
        <v>350</v>
      </c>
      <c r="BK47" t="s">
        <v>206</v>
      </c>
      <c r="BL47" t="s">
        <v>504</v>
      </c>
      <c r="BM47" t="s">
        <v>198</v>
      </c>
      <c r="BN47" t="s">
        <v>480</v>
      </c>
      <c r="BO47" t="s">
        <v>186</v>
      </c>
      <c r="BP47" t="s">
        <v>529</v>
      </c>
      <c r="BQ47" t="s">
        <v>198</v>
      </c>
      <c r="BR47" t="s">
        <v>512</v>
      </c>
      <c r="BS47" t="s">
        <v>1137</v>
      </c>
      <c r="BT47" t="s">
        <v>971</v>
      </c>
      <c r="BU47" t="s">
        <v>856</v>
      </c>
      <c r="BV47" t="s">
        <v>674</v>
      </c>
      <c r="BW47" t="s">
        <v>852</v>
      </c>
      <c r="BX47" t="s">
        <v>554</v>
      </c>
      <c r="DI47" t="s">
        <v>174</v>
      </c>
      <c r="DJ47" t="s">
        <v>560</v>
      </c>
      <c r="DK47" t="s">
        <v>681</v>
      </c>
      <c r="DL47" t="s">
        <v>207</v>
      </c>
      <c r="DM47" t="s">
        <v>562</v>
      </c>
      <c r="DN47" t="s">
        <v>861</v>
      </c>
      <c r="DO47" t="s">
        <v>174</v>
      </c>
      <c r="DP47" t="s">
        <v>558</v>
      </c>
      <c r="DQ47" t="s">
        <v>859</v>
      </c>
      <c r="DR47" t="s">
        <v>174</v>
      </c>
      <c r="DS47" t="s">
        <v>564</v>
      </c>
      <c r="DT47" t="s">
        <v>549</v>
      </c>
      <c r="DU47" t="s">
        <v>207</v>
      </c>
      <c r="DV47" t="s">
        <v>558</v>
      </c>
      <c r="DW47" t="s">
        <v>559</v>
      </c>
      <c r="DX47" t="s">
        <v>177</v>
      </c>
      <c r="DY47" t="s">
        <v>560</v>
      </c>
      <c r="DZ47" t="s">
        <v>563</v>
      </c>
      <c r="EA47" t="s">
        <v>174</v>
      </c>
      <c r="EB47" t="s">
        <v>560</v>
      </c>
      <c r="EC47" t="s">
        <v>855</v>
      </c>
      <c r="ED47" t="s">
        <v>207</v>
      </c>
      <c r="EE47" t="s">
        <v>558</v>
      </c>
      <c r="EF47" t="s">
        <v>565</v>
      </c>
      <c r="EG47" t="s">
        <v>216</v>
      </c>
      <c r="EH47" t="s">
        <v>560</v>
      </c>
      <c r="EI47" t="s">
        <v>559</v>
      </c>
      <c r="EJ47" t="s">
        <v>281</v>
      </c>
      <c r="EK47" t="s">
        <v>558</v>
      </c>
      <c r="EL47" t="s">
        <v>751</v>
      </c>
      <c r="EM47" t="s">
        <v>177</v>
      </c>
      <c r="EN47" t="s">
        <v>560</v>
      </c>
      <c r="EO47" t="s">
        <v>1138</v>
      </c>
      <c r="EP47" t="s">
        <v>177</v>
      </c>
      <c r="EQ47" t="s">
        <v>566</v>
      </c>
      <c r="ER47" t="s">
        <v>754</v>
      </c>
      <c r="ES47" t="s">
        <v>731</v>
      </c>
      <c r="ET47" t="s">
        <v>731</v>
      </c>
      <c r="EU47" t="s">
        <v>573</v>
      </c>
      <c r="EV47" t="s">
        <v>731</v>
      </c>
      <c r="EW47" t="s">
        <v>300</v>
      </c>
      <c r="EX47" t="s">
        <v>1139</v>
      </c>
      <c r="EY47">
        <v>100</v>
      </c>
      <c r="EZ47">
        <v>50</v>
      </c>
      <c r="FA47" t="s">
        <v>1003</v>
      </c>
      <c r="FB47" t="s">
        <v>388</v>
      </c>
      <c r="FC47" t="s">
        <v>623</v>
      </c>
      <c r="FD47" t="s">
        <v>975</v>
      </c>
      <c r="FE47">
        <v>110</v>
      </c>
      <c r="FF47">
        <v>95</v>
      </c>
      <c r="FG47" t="s">
        <v>570</v>
      </c>
      <c r="FH47" t="s">
        <v>1140</v>
      </c>
    </row>
    <row r="48" spans="1:164" x14ac:dyDescent="0.25">
      <c r="A48">
        <v>4</v>
      </c>
      <c r="B48" t="s">
        <v>164</v>
      </c>
      <c r="C48">
        <v>46</v>
      </c>
      <c r="D48">
        <v>4601</v>
      </c>
      <c r="E48">
        <v>974738406</v>
      </c>
      <c r="F48" t="s">
        <v>165</v>
      </c>
      <c r="G48" t="s">
        <v>166</v>
      </c>
      <c r="H48" t="s">
        <v>167</v>
      </c>
      <c r="I48" t="s">
        <v>1142</v>
      </c>
      <c r="J48" t="s">
        <v>1523</v>
      </c>
      <c r="K48" t="s">
        <v>1144</v>
      </c>
      <c r="L48" t="s">
        <v>1013</v>
      </c>
      <c r="M48" t="s">
        <v>1013</v>
      </c>
      <c r="N48" t="s">
        <v>731</v>
      </c>
      <c r="O48" t="s">
        <v>731</v>
      </c>
      <c r="P48" t="s">
        <v>885</v>
      </c>
      <c r="Q48" t="s">
        <v>502</v>
      </c>
      <c r="R48" t="s">
        <v>501</v>
      </c>
      <c r="T48" t="s">
        <v>1143</v>
      </c>
      <c r="U48" t="s">
        <v>530</v>
      </c>
      <c r="V48" t="s">
        <v>473</v>
      </c>
      <c r="X48" t="s">
        <v>897</v>
      </c>
      <c r="Y48" t="s">
        <v>530</v>
      </c>
      <c r="Z48" t="s">
        <v>170</v>
      </c>
      <c r="AB48" t="s">
        <v>769</v>
      </c>
      <c r="AC48" t="s">
        <v>608</v>
      </c>
      <c r="AD48" t="s">
        <v>505</v>
      </c>
      <c r="AF48" t="s">
        <v>896</v>
      </c>
      <c r="AG48" t="s">
        <v>530</v>
      </c>
      <c r="AH48" t="s">
        <v>580</v>
      </c>
      <c r="AJ48" t="s">
        <v>529</v>
      </c>
      <c r="AK48" t="s">
        <v>936</v>
      </c>
      <c r="AL48" t="s">
        <v>1014</v>
      </c>
      <c r="AM48" t="s">
        <v>206</v>
      </c>
      <c r="AN48" t="s">
        <v>529</v>
      </c>
      <c r="AO48" t="s">
        <v>773</v>
      </c>
      <c r="AP48" t="s">
        <v>742</v>
      </c>
      <c r="AQ48" t="s">
        <v>606</v>
      </c>
      <c r="AR48" t="s">
        <v>173</v>
      </c>
      <c r="AS48" t="s">
        <v>900</v>
      </c>
      <c r="AT48" t="s">
        <v>720</v>
      </c>
      <c r="AU48" t="s">
        <v>300</v>
      </c>
      <c r="AV48" t="s">
        <v>173</v>
      </c>
      <c r="AW48" t="s">
        <v>634</v>
      </c>
      <c r="AX48" t="s">
        <v>744</v>
      </c>
      <c r="AY48" t="s">
        <v>494</v>
      </c>
      <c r="AZ48" t="s">
        <v>473</v>
      </c>
      <c r="BA48" t="s">
        <v>770</v>
      </c>
      <c r="BB48" t="s">
        <v>900</v>
      </c>
      <c r="BC48" t="s">
        <v>560</v>
      </c>
      <c r="BD48">
        <v>1595</v>
      </c>
      <c r="BE48">
        <v>1522</v>
      </c>
      <c r="BF48">
        <v>1404</v>
      </c>
      <c r="BG48">
        <v>1518</v>
      </c>
      <c r="BH48">
        <v>1435</v>
      </c>
      <c r="BY48" t="s">
        <v>281</v>
      </c>
      <c r="BZ48" t="s">
        <v>522</v>
      </c>
      <c r="CA48" t="s">
        <v>182</v>
      </c>
      <c r="CB48" t="s">
        <v>207</v>
      </c>
      <c r="CC48" t="s">
        <v>198</v>
      </c>
      <c r="CD48" t="s">
        <v>182</v>
      </c>
      <c r="CE48" t="s">
        <v>207</v>
      </c>
      <c r="CF48" t="s">
        <v>721</v>
      </c>
      <c r="CG48" t="s">
        <v>182</v>
      </c>
      <c r="CH48" t="s">
        <v>281</v>
      </c>
      <c r="CI48" t="s">
        <v>629</v>
      </c>
      <c r="CJ48" t="s">
        <v>519</v>
      </c>
      <c r="CK48" t="s">
        <v>215</v>
      </c>
      <c r="CL48" t="s">
        <v>522</v>
      </c>
      <c r="CM48" t="s">
        <v>512</v>
      </c>
      <c r="CN48" t="s">
        <v>207</v>
      </c>
      <c r="CO48" t="s">
        <v>497</v>
      </c>
      <c r="CP48" t="s">
        <v>519</v>
      </c>
      <c r="CQ48" t="s">
        <v>216</v>
      </c>
      <c r="CR48" t="s">
        <v>208</v>
      </c>
      <c r="CS48" t="s">
        <v>533</v>
      </c>
      <c r="CT48" t="s">
        <v>215</v>
      </c>
      <c r="CU48" t="s">
        <v>486</v>
      </c>
      <c r="CV48" t="s">
        <v>533</v>
      </c>
      <c r="CW48" t="s">
        <v>216</v>
      </c>
      <c r="CX48" t="s">
        <v>557</v>
      </c>
      <c r="CY48" t="s">
        <v>533</v>
      </c>
      <c r="CZ48" t="s">
        <v>177</v>
      </c>
      <c r="DA48" t="s">
        <v>598</v>
      </c>
      <c r="DB48" t="s">
        <v>489</v>
      </c>
      <c r="DC48" t="s">
        <v>177</v>
      </c>
      <c r="DD48" t="s">
        <v>202</v>
      </c>
      <c r="DE48" t="s">
        <v>489</v>
      </c>
      <c r="DF48" t="s">
        <v>174</v>
      </c>
      <c r="DG48" t="s">
        <v>202</v>
      </c>
      <c r="DH48" t="s">
        <v>489</v>
      </c>
      <c r="FH48" t="s">
        <v>1144</v>
      </c>
    </row>
    <row r="49" spans="1:164" x14ac:dyDescent="0.25">
      <c r="A49">
        <v>4</v>
      </c>
      <c r="B49" t="s">
        <v>164</v>
      </c>
      <c r="C49">
        <v>46</v>
      </c>
      <c r="D49">
        <v>4601</v>
      </c>
      <c r="E49">
        <v>974738376</v>
      </c>
      <c r="F49" t="s">
        <v>165</v>
      </c>
      <c r="G49" t="s">
        <v>166</v>
      </c>
      <c r="H49" t="s">
        <v>167</v>
      </c>
      <c r="I49" t="s">
        <v>1145</v>
      </c>
      <c r="J49" t="s">
        <v>1524</v>
      </c>
      <c r="K49" t="s">
        <v>1151</v>
      </c>
      <c r="L49" t="s">
        <v>731</v>
      </c>
      <c r="M49" t="s">
        <v>731</v>
      </c>
      <c r="N49" t="s">
        <v>731</v>
      </c>
      <c r="O49" t="s">
        <v>731</v>
      </c>
      <c r="P49" t="s">
        <v>1146</v>
      </c>
      <c r="Q49" t="s">
        <v>481</v>
      </c>
      <c r="R49" t="s">
        <v>505</v>
      </c>
      <c r="T49" t="s">
        <v>1147</v>
      </c>
      <c r="U49" t="s">
        <v>604</v>
      </c>
      <c r="V49" t="s">
        <v>505</v>
      </c>
      <c r="X49" t="s">
        <v>1148</v>
      </c>
      <c r="Y49" t="s">
        <v>508</v>
      </c>
      <c r="Z49" t="s">
        <v>608</v>
      </c>
      <c r="AB49" t="s">
        <v>1149</v>
      </c>
      <c r="AC49" t="s">
        <v>481</v>
      </c>
      <c r="AD49" t="s">
        <v>608</v>
      </c>
      <c r="AF49" t="s">
        <v>507</v>
      </c>
      <c r="AG49" t="s">
        <v>655</v>
      </c>
      <c r="AH49" t="s">
        <v>604</v>
      </c>
      <c r="AJ49" t="s">
        <v>533</v>
      </c>
      <c r="AK49" t="s">
        <v>713</v>
      </c>
      <c r="AL49" t="s">
        <v>714</v>
      </c>
      <c r="AM49" t="s">
        <v>522</v>
      </c>
      <c r="AN49" t="s">
        <v>529</v>
      </c>
      <c r="AO49" t="s">
        <v>1150</v>
      </c>
      <c r="AP49" t="s">
        <v>619</v>
      </c>
      <c r="AQ49" t="s">
        <v>495</v>
      </c>
      <c r="AR49" t="s">
        <v>474</v>
      </c>
      <c r="AS49" t="s">
        <v>622</v>
      </c>
      <c r="AT49" t="s">
        <v>668</v>
      </c>
      <c r="AU49" t="s">
        <v>494</v>
      </c>
      <c r="AV49" t="s">
        <v>519</v>
      </c>
      <c r="AW49" t="s">
        <v>622</v>
      </c>
      <c r="AX49" t="s">
        <v>617</v>
      </c>
      <c r="AY49" t="s">
        <v>494</v>
      </c>
      <c r="AZ49" t="s">
        <v>519</v>
      </c>
      <c r="BA49" t="s">
        <v>667</v>
      </c>
      <c r="BB49" t="s">
        <v>1150</v>
      </c>
      <c r="BC49" t="s">
        <v>213</v>
      </c>
      <c r="BD49">
        <v>1682</v>
      </c>
      <c r="BE49">
        <v>1641</v>
      </c>
      <c r="BF49">
        <v>1649</v>
      </c>
      <c r="BG49">
        <v>1631</v>
      </c>
      <c r="BH49">
        <v>1606</v>
      </c>
      <c r="BY49" t="s">
        <v>201</v>
      </c>
      <c r="BZ49" t="s">
        <v>213</v>
      </c>
      <c r="CA49" t="s">
        <v>207</v>
      </c>
      <c r="CB49" t="s">
        <v>174</v>
      </c>
      <c r="CC49" t="s">
        <v>213</v>
      </c>
      <c r="CD49" t="s">
        <v>207</v>
      </c>
      <c r="CE49" t="s">
        <v>201</v>
      </c>
      <c r="CF49" t="s">
        <v>644</v>
      </c>
      <c r="CG49" t="s">
        <v>207</v>
      </c>
      <c r="CH49" t="s">
        <v>207</v>
      </c>
      <c r="CI49" t="s">
        <v>202</v>
      </c>
      <c r="CJ49" t="s">
        <v>595</v>
      </c>
      <c r="CK49" t="s">
        <v>281</v>
      </c>
      <c r="CL49" t="s">
        <v>630</v>
      </c>
      <c r="CM49" t="s">
        <v>191</v>
      </c>
      <c r="CN49" t="s">
        <v>177</v>
      </c>
      <c r="CO49" t="s">
        <v>211</v>
      </c>
      <c r="CP49" t="s">
        <v>595</v>
      </c>
      <c r="CQ49" t="s">
        <v>496</v>
      </c>
      <c r="CR49" t="s">
        <v>204</v>
      </c>
      <c r="CS49" t="s">
        <v>593</v>
      </c>
      <c r="CT49" t="s">
        <v>177</v>
      </c>
      <c r="CU49" t="s">
        <v>204</v>
      </c>
      <c r="CV49" t="s">
        <v>593</v>
      </c>
      <c r="CW49" t="s">
        <v>207</v>
      </c>
      <c r="CX49" t="s">
        <v>557</v>
      </c>
      <c r="CY49" t="s">
        <v>191</v>
      </c>
      <c r="CZ49" t="s">
        <v>177</v>
      </c>
      <c r="DA49" t="s">
        <v>214</v>
      </c>
      <c r="DB49" t="s">
        <v>205</v>
      </c>
      <c r="DC49" t="s">
        <v>210</v>
      </c>
      <c r="DD49" t="s">
        <v>494</v>
      </c>
      <c r="DE49" t="s">
        <v>201</v>
      </c>
      <c r="DF49" t="s">
        <v>210</v>
      </c>
      <c r="DG49" t="s">
        <v>644</v>
      </c>
      <c r="DH49" t="s">
        <v>201</v>
      </c>
      <c r="FH49" t="s">
        <v>1151</v>
      </c>
    </row>
    <row r="50" spans="1:164" x14ac:dyDescent="0.25">
      <c r="A50">
        <v>4</v>
      </c>
      <c r="B50" t="s">
        <v>164</v>
      </c>
      <c r="C50">
        <v>46</v>
      </c>
      <c r="D50">
        <v>4601</v>
      </c>
      <c r="E50">
        <v>974738341</v>
      </c>
      <c r="F50" t="s">
        <v>165</v>
      </c>
      <c r="G50" t="s">
        <v>166</v>
      </c>
      <c r="H50" t="s">
        <v>167</v>
      </c>
      <c r="I50" t="s">
        <v>1152</v>
      </c>
      <c r="J50" t="s">
        <v>1525</v>
      </c>
      <c r="K50" t="s">
        <v>1160</v>
      </c>
      <c r="L50" t="s">
        <v>1007</v>
      </c>
      <c r="M50" t="s">
        <v>604</v>
      </c>
      <c r="N50" t="s">
        <v>731</v>
      </c>
      <c r="O50" t="s">
        <v>604</v>
      </c>
      <c r="P50" t="s">
        <v>1153</v>
      </c>
      <c r="Q50" t="s">
        <v>655</v>
      </c>
      <c r="R50" t="s">
        <v>217</v>
      </c>
      <c r="T50" t="s">
        <v>1056</v>
      </c>
      <c r="U50" t="s">
        <v>502</v>
      </c>
      <c r="V50" t="s">
        <v>209</v>
      </c>
      <c r="X50" t="s">
        <v>312</v>
      </c>
      <c r="Y50" t="s">
        <v>505</v>
      </c>
      <c r="Z50" t="s">
        <v>209</v>
      </c>
      <c r="AB50" t="s">
        <v>1154</v>
      </c>
      <c r="AC50" t="s">
        <v>505</v>
      </c>
      <c r="AD50" t="s">
        <v>207</v>
      </c>
      <c r="AF50" t="s">
        <v>1155</v>
      </c>
      <c r="AG50" t="s">
        <v>505</v>
      </c>
      <c r="AH50" t="s">
        <v>489</v>
      </c>
      <c r="AJ50" t="s">
        <v>195</v>
      </c>
      <c r="AK50" t="s">
        <v>492</v>
      </c>
      <c r="AL50" t="s">
        <v>913</v>
      </c>
      <c r="AM50" t="s">
        <v>301</v>
      </c>
      <c r="AN50" t="s">
        <v>595</v>
      </c>
      <c r="AO50" t="s">
        <v>1156</v>
      </c>
      <c r="AP50" t="s">
        <v>991</v>
      </c>
      <c r="AQ50" t="s">
        <v>557</v>
      </c>
      <c r="AR50" t="s">
        <v>171</v>
      </c>
      <c r="AS50" t="s">
        <v>1157</v>
      </c>
      <c r="AT50" t="s">
        <v>1158</v>
      </c>
      <c r="AU50" t="s">
        <v>557</v>
      </c>
      <c r="AV50" t="s">
        <v>171</v>
      </c>
      <c r="AW50" t="s">
        <v>853</v>
      </c>
      <c r="AX50" t="s">
        <v>487</v>
      </c>
      <c r="AY50" t="s">
        <v>632</v>
      </c>
      <c r="AZ50" t="s">
        <v>593</v>
      </c>
      <c r="BA50" t="s">
        <v>1058</v>
      </c>
      <c r="BB50" t="s">
        <v>1159</v>
      </c>
      <c r="BC50" t="s">
        <v>829</v>
      </c>
      <c r="BD50">
        <v>1594</v>
      </c>
      <c r="BE50">
        <v>1586</v>
      </c>
      <c r="BF50">
        <v>1530</v>
      </c>
      <c r="BG50">
        <v>1654</v>
      </c>
      <c r="BH50">
        <v>1598</v>
      </c>
      <c r="BY50" t="s">
        <v>174</v>
      </c>
      <c r="BZ50" t="s">
        <v>204</v>
      </c>
      <c r="CA50" t="s">
        <v>180</v>
      </c>
      <c r="CB50" t="s">
        <v>201</v>
      </c>
      <c r="CC50" t="s">
        <v>557</v>
      </c>
      <c r="CD50" t="s">
        <v>180</v>
      </c>
      <c r="CE50" t="s">
        <v>281</v>
      </c>
      <c r="CF50" t="s">
        <v>497</v>
      </c>
      <c r="CG50" t="s">
        <v>180</v>
      </c>
      <c r="CH50" t="s">
        <v>207</v>
      </c>
      <c r="CI50" t="s">
        <v>486</v>
      </c>
      <c r="CJ50" t="s">
        <v>177</v>
      </c>
      <c r="CK50" t="s">
        <v>201</v>
      </c>
      <c r="CL50" t="s">
        <v>211</v>
      </c>
      <c r="CM50" t="s">
        <v>177</v>
      </c>
      <c r="CN50" t="s">
        <v>496</v>
      </c>
      <c r="CO50" t="s">
        <v>202</v>
      </c>
      <c r="CP50" t="s">
        <v>177</v>
      </c>
      <c r="CQ50" t="s">
        <v>174</v>
      </c>
      <c r="CR50" t="s">
        <v>494</v>
      </c>
      <c r="CS50" t="s">
        <v>523</v>
      </c>
      <c r="CT50" t="s">
        <v>177</v>
      </c>
      <c r="CU50" t="s">
        <v>214</v>
      </c>
      <c r="CV50" t="s">
        <v>523</v>
      </c>
      <c r="CW50" t="s">
        <v>281</v>
      </c>
      <c r="CX50" t="s">
        <v>214</v>
      </c>
      <c r="CY50" t="s">
        <v>523</v>
      </c>
      <c r="CZ50" t="s">
        <v>496</v>
      </c>
      <c r="DA50" t="s">
        <v>204</v>
      </c>
      <c r="DB50" t="s">
        <v>183</v>
      </c>
      <c r="DC50" t="s">
        <v>205</v>
      </c>
      <c r="DD50" t="s">
        <v>495</v>
      </c>
      <c r="DE50" t="s">
        <v>183</v>
      </c>
      <c r="DF50" t="s">
        <v>496</v>
      </c>
      <c r="DG50" t="s">
        <v>213</v>
      </c>
      <c r="DH50" t="s">
        <v>582</v>
      </c>
      <c r="FH50" t="s">
        <v>1160</v>
      </c>
    </row>
    <row r="51" spans="1:164" x14ac:dyDescent="0.25">
      <c r="A51">
        <v>4</v>
      </c>
      <c r="B51" t="s">
        <v>164</v>
      </c>
      <c r="C51">
        <v>46</v>
      </c>
      <c r="D51">
        <v>4601</v>
      </c>
      <c r="E51">
        <v>974738295</v>
      </c>
      <c r="F51" t="s">
        <v>165</v>
      </c>
      <c r="G51" t="s">
        <v>166</v>
      </c>
      <c r="H51" t="s">
        <v>167</v>
      </c>
      <c r="I51" t="s">
        <v>1161</v>
      </c>
      <c r="J51" t="s">
        <v>1526</v>
      </c>
      <c r="K51" t="s">
        <v>1171</v>
      </c>
      <c r="L51" t="s">
        <v>1073</v>
      </c>
      <c r="M51" t="s">
        <v>1471</v>
      </c>
      <c r="N51" t="s">
        <v>731</v>
      </c>
      <c r="O51" t="s">
        <v>1170</v>
      </c>
      <c r="P51" t="s">
        <v>1162</v>
      </c>
      <c r="Q51" t="s">
        <v>473</v>
      </c>
      <c r="R51" t="s">
        <v>524</v>
      </c>
      <c r="T51" t="s">
        <v>1163</v>
      </c>
      <c r="U51" t="s">
        <v>473</v>
      </c>
      <c r="V51" t="s">
        <v>210</v>
      </c>
      <c r="X51" t="s">
        <v>1164</v>
      </c>
      <c r="Y51" t="s">
        <v>173</v>
      </c>
      <c r="Z51" t="s">
        <v>586</v>
      </c>
      <c r="AB51" t="s">
        <v>1165</v>
      </c>
      <c r="AC51" t="s">
        <v>173</v>
      </c>
      <c r="AD51" t="s">
        <v>586</v>
      </c>
      <c r="AF51" t="s">
        <v>1164</v>
      </c>
      <c r="AG51" t="s">
        <v>473</v>
      </c>
      <c r="AH51" t="s">
        <v>593</v>
      </c>
      <c r="AJ51" t="s">
        <v>533</v>
      </c>
      <c r="AK51" t="s">
        <v>808</v>
      </c>
      <c r="AL51" t="s">
        <v>672</v>
      </c>
      <c r="AM51" t="s">
        <v>547</v>
      </c>
      <c r="AN51" t="s">
        <v>512</v>
      </c>
      <c r="AO51" t="s">
        <v>1166</v>
      </c>
      <c r="AP51" t="s">
        <v>1167</v>
      </c>
      <c r="AQ51" t="s">
        <v>1168</v>
      </c>
      <c r="AR51" t="s">
        <v>474</v>
      </c>
      <c r="AS51" t="s">
        <v>1169</v>
      </c>
      <c r="AT51" t="s">
        <v>986</v>
      </c>
      <c r="AU51" t="s">
        <v>306</v>
      </c>
      <c r="AV51" t="s">
        <v>474</v>
      </c>
      <c r="AW51" t="s">
        <v>518</v>
      </c>
      <c r="AX51" t="s">
        <v>1105</v>
      </c>
      <c r="AY51" t="s">
        <v>1170</v>
      </c>
      <c r="AZ51" t="s">
        <v>474</v>
      </c>
      <c r="BA51" t="s">
        <v>982</v>
      </c>
      <c r="BB51" t="s">
        <v>516</v>
      </c>
      <c r="BC51" t="s">
        <v>306</v>
      </c>
      <c r="BD51">
        <v>1591</v>
      </c>
      <c r="BE51">
        <v>1552</v>
      </c>
      <c r="BF51">
        <v>1657</v>
      </c>
      <c r="BG51">
        <v>1362</v>
      </c>
      <c r="BH51">
        <v>1603</v>
      </c>
      <c r="BY51" t="s">
        <v>205</v>
      </c>
      <c r="BZ51" t="s">
        <v>486</v>
      </c>
      <c r="CA51" t="s">
        <v>593</v>
      </c>
      <c r="CB51" t="s">
        <v>201</v>
      </c>
      <c r="CC51" t="s">
        <v>208</v>
      </c>
      <c r="CD51" t="s">
        <v>195</v>
      </c>
      <c r="CE51" t="s">
        <v>281</v>
      </c>
      <c r="CF51" t="s">
        <v>486</v>
      </c>
      <c r="CG51" t="s">
        <v>593</v>
      </c>
      <c r="CH51" t="s">
        <v>281</v>
      </c>
      <c r="CI51" t="s">
        <v>486</v>
      </c>
      <c r="CJ51" t="s">
        <v>593</v>
      </c>
      <c r="CK51" t="s">
        <v>281</v>
      </c>
      <c r="CL51" t="s">
        <v>721</v>
      </c>
      <c r="CM51" t="s">
        <v>593</v>
      </c>
      <c r="CN51" t="s">
        <v>207</v>
      </c>
      <c r="CO51" t="s">
        <v>486</v>
      </c>
      <c r="CP51" t="s">
        <v>191</v>
      </c>
      <c r="CQ51" t="s">
        <v>207</v>
      </c>
      <c r="CR51" t="s">
        <v>629</v>
      </c>
      <c r="CS51" t="s">
        <v>519</v>
      </c>
      <c r="CT51" t="s">
        <v>210</v>
      </c>
      <c r="CU51" t="s">
        <v>186</v>
      </c>
      <c r="CV51" t="s">
        <v>512</v>
      </c>
      <c r="CW51" t="s">
        <v>210</v>
      </c>
      <c r="CX51" t="s">
        <v>630</v>
      </c>
      <c r="CY51" t="s">
        <v>612</v>
      </c>
      <c r="CZ51" t="s">
        <v>174</v>
      </c>
      <c r="DA51" t="s">
        <v>211</v>
      </c>
      <c r="DB51" t="s">
        <v>195</v>
      </c>
      <c r="DC51" t="s">
        <v>216</v>
      </c>
      <c r="DD51" t="s">
        <v>204</v>
      </c>
      <c r="DE51" t="s">
        <v>593</v>
      </c>
      <c r="DF51" t="s">
        <v>177</v>
      </c>
      <c r="DG51" t="s">
        <v>630</v>
      </c>
      <c r="DH51" t="s">
        <v>187</v>
      </c>
      <c r="FH51" t="s">
        <v>1171</v>
      </c>
    </row>
    <row r="52" spans="1:164" x14ac:dyDescent="0.25">
      <c r="A52">
        <v>4</v>
      </c>
      <c r="B52" t="s">
        <v>164</v>
      </c>
      <c r="C52">
        <v>46</v>
      </c>
      <c r="D52">
        <v>4601</v>
      </c>
      <c r="E52">
        <v>974738031</v>
      </c>
      <c r="F52" t="s">
        <v>165</v>
      </c>
      <c r="G52" t="s">
        <v>166</v>
      </c>
      <c r="H52" t="s">
        <v>167</v>
      </c>
      <c r="I52" t="s">
        <v>1172</v>
      </c>
      <c r="J52" t="s">
        <v>1527</v>
      </c>
      <c r="K52" t="s">
        <v>1188</v>
      </c>
      <c r="L52" t="s">
        <v>1528</v>
      </c>
      <c r="M52" t="s">
        <v>1528</v>
      </c>
      <c r="N52" t="s">
        <v>731</v>
      </c>
      <c r="O52" t="s">
        <v>731</v>
      </c>
      <c r="P52" t="s">
        <v>1173</v>
      </c>
      <c r="Q52" t="s">
        <v>201</v>
      </c>
      <c r="R52" t="s">
        <v>212</v>
      </c>
      <c r="T52" t="s">
        <v>1174</v>
      </c>
      <c r="U52" t="s">
        <v>215</v>
      </c>
      <c r="V52" t="s">
        <v>187</v>
      </c>
      <c r="X52" t="s">
        <v>1175</v>
      </c>
      <c r="Y52" t="s">
        <v>201</v>
      </c>
      <c r="Z52" t="s">
        <v>182</v>
      </c>
      <c r="AB52" t="s">
        <v>1176</v>
      </c>
      <c r="AC52" t="s">
        <v>726</v>
      </c>
      <c r="AD52" t="s">
        <v>191</v>
      </c>
      <c r="AF52" t="s">
        <v>1177</v>
      </c>
      <c r="AG52" t="s">
        <v>600</v>
      </c>
      <c r="AH52" t="s">
        <v>182</v>
      </c>
      <c r="AJ52" t="s">
        <v>496</v>
      </c>
      <c r="AK52" t="s">
        <v>1178</v>
      </c>
      <c r="AL52" t="s">
        <v>1179</v>
      </c>
      <c r="AM52" t="s">
        <v>721</v>
      </c>
      <c r="AN52" t="s">
        <v>601</v>
      </c>
      <c r="AO52" t="s">
        <v>876</v>
      </c>
      <c r="AP52" t="s">
        <v>1180</v>
      </c>
      <c r="AQ52" t="s">
        <v>626</v>
      </c>
      <c r="AR52" t="s">
        <v>582</v>
      </c>
      <c r="AS52" t="s">
        <v>1181</v>
      </c>
      <c r="AT52" t="s">
        <v>1182</v>
      </c>
      <c r="AU52" t="s">
        <v>266</v>
      </c>
      <c r="AV52" t="s">
        <v>180</v>
      </c>
      <c r="AW52" t="s">
        <v>1181</v>
      </c>
      <c r="AX52" t="s">
        <v>1183</v>
      </c>
      <c r="AY52" t="s">
        <v>263</v>
      </c>
      <c r="AZ52" t="s">
        <v>584</v>
      </c>
      <c r="BA52" t="s">
        <v>1181</v>
      </c>
      <c r="BB52" t="s">
        <v>1184</v>
      </c>
      <c r="BC52" t="s">
        <v>631</v>
      </c>
      <c r="BD52">
        <v>1748</v>
      </c>
      <c r="BE52">
        <v>1748</v>
      </c>
      <c r="BF52">
        <v>1646</v>
      </c>
      <c r="BG52">
        <v>1624</v>
      </c>
      <c r="BH52">
        <v>1689</v>
      </c>
      <c r="BI52" t="s">
        <v>349</v>
      </c>
      <c r="BJ52" t="s">
        <v>350</v>
      </c>
      <c r="BM52" t="s">
        <v>351</v>
      </c>
      <c r="BN52" t="s">
        <v>182</v>
      </c>
      <c r="BO52" t="s">
        <v>630</v>
      </c>
      <c r="BP52" t="s">
        <v>480</v>
      </c>
      <c r="BQ52" t="s">
        <v>550</v>
      </c>
      <c r="BR52" t="s">
        <v>505</v>
      </c>
      <c r="BS52" t="s">
        <v>553</v>
      </c>
      <c r="BT52" t="s">
        <v>1185</v>
      </c>
      <c r="BU52" t="s">
        <v>966</v>
      </c>
      <c r="BV52" t="s">
        <v>967</v>
      </c>
      <c r="BW52" t="s">
        <v>884</v>
      </c>
      <c r="BX52" t="s">
        <v>751</v>
      </c>
      <c r="CA52" t="s">
        <v>556</v>
      </c>
      <c r="CB52" t="s">
        <v>207</v>
      </c>
      <c r="CC52" t="s">
        <v>644</v>
      </c>
      <c r="CD52" t="s">
        <v>726</v>
      </c>
      <c r="CG52" t="s">
        <v>556</v>
      </c>
      <c r="CH52" t="s">
        <v>177</v>
      </c>
      <c r="CI52" t="s">
        <v>494</v>
      </c>
      <c r="CJ52" t="s">
        <v>177</v>
      </c>
      <c r="CK52" t="s">
        <v>177</v>
      </c>
      <c r="CL52" t="s">
        <v>497</v>
      </c>
      <c r="CM52" t="s">
        <v>177</v>
      </c>
      <c r="CN52" t="s">
        <v>216</v>
      </c>
      <c r="CO52" t="s">
        <v>497</v>
      </c>
      <c r="CP52" t="s">
        <v>216</v>
      </c>
      <c r="CQ52" t="s">
        <v>281</v>
      </c>
      <c r="CR52" t="s">
        <v>644</v>
      </c>
      <c r="CS52" t="s">
        <v>728</v>
      </c>
      <c r="CT52" t="s">
        <v>210</v>
      </c>
      <c r="CU52" t="s">
        <v>644</v>
      </c>
      <c r="CV52" t="s">
        <v>728</v>
      </c>
      <c r="CW52" t="s">
        <v>215</v>
      </c>
      <c r="CX52" t="s">
        <v>214</v>
      </c>
      <c r="CY52" t="s">
        <v>727</v>
      </c>
      <c r="CZ52" t="s">
        <v>210</v>
      </c>
      <c r="DA52" t="s">
        <v>557</v>
      </c>
      <c r="DB52" t="s">
        <v>525</v>
      </c>
      <c r="DC52" t="s">
        <v>210</v>
      </c>
      <c r="DD52" t="s">
        <v>211</v>
      </c>
      <c r="DE52" t="s">
        <v>217</v>
      </c>
      <c r="DF52" t="s">
        <v>177</v>
      </c>
      <c r="DG52" t="s">
        <v>522</v>
      </c>
      <c r="DH52" t="s">
        <v>212</v>
      </c>
      <c r="DK52" t="s">
        <v>556</v>
      </c>
      <c r="DN52" t="s">
        <v>556</v>
      </c>
      <c r="DQ52" t="s">
        <v>556</v>
      </c>
      <c r="DR52" t="s">
        <v>201</v>
      </c>
      <c r="DS52" t="s">
        <v>644</v>
      </c>
      <c r="DT52" t="s">
        <v>683</v>
      </c>
      <c r="DU52" t="s">
        <v>281</v>
      </c>
      <c r="DV52" t="s">
        <v>301</v>
      </c>
      <c r="DW52" t="s">
        <v>683</v>
      </c>
      <c r="DX52" t="s">
        <v>207</v>
      </c>
      <c r="DY52" t="s">
        <v>644</v>
      </c>
      <c r="DZ52" t="s">
        <v>682</v>
      </c>
      <c r="EA52" t="s">
        <v>281</v>
      </c>
      <c r="EB52" t="s">
        <v>560</v>
      </c>
      <c r="EC52" t="s">
        <v>821</v>
      </c>
      <c r="ED52" t="s">
        <v>207</v>
      </c>
      <c r="EE52" t="s">
        <v>301</v>
      </c>
      <c r="EF52" t="s">
        <v>834</v>
      </c>
      <c r="EG52" t="s">
        <v>216</v>
      </c>
      <c r="EH52" t="s">
        <v>301</v>
      </c>
      <c r="EI52" t="s">
        <v>821</v>
      </c>
      <c r="EJ52" t="s">
        <v>177</v>
      </c>
      <c r="EK52" t="s">
        <v>560</v>
      </c>
      <c r="EL52" t="s">
        <v>859</v>
      </c>
      <c r="EM52" t="s">
        <v>216</v>
      </c>
      <c r="EN52" t="s">
        <v>562</v>
      </c>
      <c r="EO52" t="s">
        <v>954</v>
      </c>
      <c r="EP52" t="s">
        <v>216</v>
      </c>
      <c r="EQ52" t="s">
        <v>669</v>
      </c>
      <c r="ER52" t="s">
        <v>1186</v>
      </c>
      <c r="ES52" t="s">
        <v>300</v>
      </c>
      <c r="ET52" t="s">
        <v>211</v>
      </c>
      <c r="EU52" t="s">
        <v>1185</v>
      </c>
      <c r="EV52" t="s">
        <v>301</v>
      </c>
      <c r="EW52" t="s">
        <v>190</v>
      </c>
      <c r="EX52" t="s">
        <v>691</v>
      </c>
      <c r="EY52">
        <v>120</v>
      </c>
      <c r="EZ52">
        <v>100</v>
      </c>
      <c r="FA52" t="s">
        <v>688</v>
      </c>
      <c r="FB52" t="s">
        <v>605</v>
      </c>
      <c r="FC52" t="s">
        <v>1187</v>
      </c>
      <c r="FD52" t="s">
        <v>956</v>
      </c>
      <c r="FE52">
        <v>100</v>
      </c>
      <c r="FF52">
        <v>100</v>
      </c>
      <c r="FG52" t="s">
        <v>1139</v>
      </c>
      <c r="FH52" t="s">
        <v>1188</v>
      </c>
    </row>
    <row r="53" spans="1:164" x14ac:dyDescent="0.25">
      <c r="A53">
        <v>4</v>
      </c>
      <c r="B53" t="s">
        <v>164</v>
      </c>
      <c r="C53">
        <v>46</v>
      </c>
      <c r="D53">
        <v>4601</v>
      </c>
      <c r="E53">
        <v>974737965</v>
      </c>
      <c r="F53" t="s">
        <v>165</v>
      </c>
      <c r="G53" t="s">
        <v>166</v>
      </c>
      <c r="H53" t="s">
        <v>167</v>
      </c>
      <c r="I53" t="s">
        <v>1189</v>
      </c>
      <c r="J53" t="s">
        <v>1529</v>
      </c>
      <c r="K53" t="s">
        <v>1193</v>
      </c>
      <c r="L53" t="s">
        <v>571</v>
      </c>
      <c r="M53" t="s">
        <v>542</v>
      </c>
      <c r="N53" t="s">
        <v>604</v>
      </c>
      <c r="O53" t="s">
        <v>731</v>
      </c>
      <c r="P53" t="s">
        <v>1190</v>
      </c>
      <c r="Q53" t="s">
        <v>655</v>
      </c>
      <c r="R53" t="s">
        <v>217</v>
      </c>
      <c r="T53" t="s">
        <v>1191</v>
      </c>
      <c r="U53" t="s">
        <v>530</v>
      </c>
      <c r="V53" t="s">
        <v>174</v>
      </c>
      <c r="X53" t="s">
        <v>665</v>
      </c>
      <c r="Y53" t="s">
        <v>505</v>
      </c>
      <c r="Z53" t="s">
        <v>177</v>
      </c>
      <c r="AB53" t="s">
        <v>432</v>
      </c>
      <c r="AC53" t="s">
        <v>580</v>
      </c>
      <c r="AD53" t="s">
        <v>180</v>
      </c>
      <c r="AF53" t="s">
        <v>1192</v>
      </c>
      <c r="AG53" t="s">
        <v>608</v>
      </c>
      <c r="AH53" t="s">
        <v>177</v>
      </c>
      <c r="AJ53" t="s">
        <v>533</v>
      </c>
      <c r="AK53" t="s">
        <v>1169</v>
      </c>
      <c r="AL53" t="s">
        <v>806</v>
      </c>
      <c r="AM53" t="s">
        <v>389</v>
      </c>
      <c r="AN53" t="s">
        <v>512</v>
      </c>
      <c r="AO53" t="s">
        <v>622</v>
      </c>
      <c r="AP53" t="s">
        <v>516</v>
      </c>
      <c r="AQ53" t="s">
        <v>800</v>
      </c>
      <c r="AR53" t="s">
        <v>519</v>
      </c>
      <c r="AS53" t="s">
        <v>799</v>
      </c>
      <c r="AT53" t="s">
        <v>808</v>
      </c>
      <c r="AU53" t="s">
        <v>198</v>
      </c>
      <c r="AV53" t="s">
        <v>519</v>
      </c>
      <c r="AW53" t="s">
        <v>794</v>
      </c>
      <c r="AX53" t="s">
        <v>513</v>
      </c>
      <c r="AY53" t="s">
        <v>637</v>
      </c>
      <c r="AZ53" t="s">
        <v>612</v>
      </c>
      <c r="BA53" t="s">
        <v>197</v>
      </c>
      <c r="BB53" t="s">
        <v>795</v>
      </c>
      <c r="BC53" t="s">
        <v>825</v>
      </c>
      <c r="BD53">
        <v>1545</v>
      </c>
      <c r="BE53">
        <v>1427</v>
      </c>
      <c r="BF53">
        <v>1570</v>
      </c>
      <c r="BG53">
        <v>1535</v>
      </c>
      <c r="BH53">
        <v>1533</v>
      </c>
      <c r="CA53" t="s">
        <v>556</v>
      </c>
      <c r="CB53" t="s">
        <v>177</v>
      </c>
      <c r="CC53" t="s">
        <v>598</v>
      </c>
      <c r="CD53" t="s">
        <v>203</v>
      </c>
      <c r="CE53" t="s">
        <v>215</v>
      </c>
      <c r="CF53" t="s">
        <v>204</v>
      </c>
      <c r="CG53" t="s">
        <v>588</v>
      </c>
      <c r="CH53" t="s">
        <v>216</v>
      </c>
      <c r="CI53" t="s">
        <v>206</v>
      </c>
      <c r="CJ53" t="s">
        <v>203</v>
      </c>
      <c r="CK53" t="s">
        <v>216</v>
      </c>
      <c r="CL53" t="s">
        <v>202</v>
      </c>
      <c r="CM53" t="s">
        <v>588</v>
      </c>
      <c r="CN53" t="s">
        <v>215</v>
      </c>
      <c r="CO53" t="s">
        <v>522</v>
      </c>
      <c r="CP53" t="s">
        <v>203</v>
      </c>
      <c r="CQ53" t="s">
        <v>281</v>
      </c>
      <c r="CR53" t="s">
        <v>214</v>
      </c>
      <c r="CS53" t="s">
        <v>171</v>
      </c>
      <c r="CT53" t="s">
        <v>174</v>
      </c>
      <c r="CU53" t="s">
        <v>211</v>
      </c>
      <c r="CV53" t="s">
        <v>171</v>
      </c>
      <c r="CW53" t="s">
        <v>496</v>
      </c>
      <c r="CX53" t="s">
        <v>494</v>
      </c>
      <c r="CY53" t="s">
        <v>595</v>
      </c>
      <c r="CZ53" t="s">
        <v>201</v>
      </c>
      <c r="DA53" t="s">
        <v>494</v>
      </c>
      <c r="DB53" t="s">
        <v>212</v>
      </c>
      <c r="DC53" t="s">
        <v>201</v>
      </c>
      <c r="DD53" t="s">
        <v>494</v>
      </c>
      <c r="DE53" t="s">
        <v>209</v>
      </c>
      <c r="DF53" t="s">
        <v>496</v>
      </c>
      <c r="DG53" t="s">
        <v>214</v>
      </c>
      <c r="DH53" t="s">
        <v>212</v>
      </c>
      <c r="FH53" t="s">
        <v>1193</v>
      </c>
    </row>
    <row r="54" spans="1:164" x14ac:dyDescent="0.25">
      <c r="A54">
        <v>4</v>
      </c>
      <c r="B54" t="s">
        <v>164</v>
      </c>
      <c r="C54">
        <v>46</v>
      </c>
      <c r="D54">
        <v>4601</v>
      </c>
      <c r="E54">
        <v>976202422</v>
      </c>
      <c r="F54" t="s">
        <v>165</v>
      </c>
      <c r="G54" t="s">
        <v>166</v>
      </c>
      <c r="H54" t="s">
        <v>167</v>
      </c>
      <c r="I54" t="s">
        <v>1194</v>
      </c>
      <c r="J54" t="s">
        <v>1530</v>
      </c>
      <c r="K54" t="s">
        <v>1203</v>
      </c>
      <c r="L54" t="s">
        <v>604</v>
      </c>
      <c r="M54" t="s">
        <v>604</v>
      </c>
      <c r="N54" t="s">
        <v>604</v>
      </c>
      <c r="O54" t="s">
        <v>604</v>
      </c>
      <c r="P54" t="s">
        <v>692</v>
      </c>
      <c r="Q54" t="s">
        <v>530</v>
      </c>
      <c r="R54" t="s">
        <v>581</v>
      </c>
      <c r="T54" t="s">
        <v>732</v>
      </c>
      <c r="U54" t="s">
        <v>608</v>
      </c>
      <c r="V54" t="s">
        <v>581</v>
      </c>
      <c r="X54" t="s">
        <v>679</v>
      </c>
      <c r="Y54" t="s">
        <v>502</v>
      </c>
      <c r="Z54" t="s">
        <v>580</v>
      </c>
      <c r="AB54" t="s">
        <v>732</v>
      </c>
      <c r="AC54" t="s">
        <v>580</v>
      </c>
      <c r="AD54" t="s">
        <v>604</v>
      </c>
      <c r="AF54" t="s">
        <v>679</v>
      </c>
      <c r="AG54" t="s">
        <v>505</v>
      </c>
      <c r="AH54" t="s">
        <v>604</v>
      </c>
      <c r="AJ54" t="s">
        <v>480</v>
      </c>
      <c r="AK54" t="s">
        <v>1195</v>
      </c>
      <c r="AL54" t="s">
        <v>1011</v>
      </c>
      <c r="AM54" t="s">
        <v>301</v>
      </c>
      <c r="AN54" t="s">
        <v>476</v>
      </c>
      <c r="AO54" t="s">
        <v>1196</v>
      </c>
      <c r="AP54" t="s">
        <v>1197</v>
      </c>
      <c r="AQ54" t="s">
        <v>564</v>
      </c>
      <c r="AR54" t="s">
        <v>501</v>
      </c>
      <c r="AS54" t="s">
        <v>1198</v>
      </c>
      <c r="AT54" t="s">
        <v>574</v>
      </c>
      <c r="AU54" t="s">
        <v>213</v>
      </c>
      <c r="AV54" t="s">
        <v>170</v>
      </c>
      <c r="AW54" t="s">
        <v>1195</v>
      </c>
      <c r="AX54" t="s">
        <v>1199</v>
      </c>
      <c r="AY54" t="s">
        <v>494</v>
      </c>
      <c r="AZ54" t="s">
        <v>476</v>
      </c>
      <c r="BA54" t="s">
        <v>743</v>
      </c>
      <c r="BB54" t="s">
        <v>1200</v>
      </c>
      <c r="BC54" t="s">
        <v>562</v>
      </c>
      <c r="BD54">
        <v>1046</v>
      </c>
      <c r="BE54">
        <v>1107</v>
      </c>
      <c r="BF54">
        <v>862</v>
      </c>
      <c r="BG54">
        <v>1217</v>
      </c>
      <c r="BH54">
        <v>1140</v>
      </c>
      <c r="BI54" t="s">
        <v>349</v>
      </c>
      <c r="BJ54" t="s">
        <v>350</v>
      </c>
      <c r="BK54" t="s">
        <v>604</v>
      </c>
      <c r="BL54" t="s">
        <v>604</v>
      </c>
      <c r="BM54" t="s">
        <v>604</v>
      </c>
      <c r="BN54" t="s">
        <v>604</v>
      </c>
      <c r="BO54" t="s">
        <v>604</v>
      </c>
      <c r="BP54" t="s">
        <v>604</v>
      </c>
      <c r="BS54" t="s">
        <v>1201</v>
      </c>
      <c r="BT54" t="s">
        <v>481</v>
      </c>
      <c r="BU54" t="s">
        <v>604</v>
      </c>
      <c r="BV54" t="s">
        <v>604</v>
      </c>
      <c r="BW54" t="s">
        <v>823</v>
      </c>
      <c r="BX54" t="s">
        <v>508</v>
      </c>
      <c r="BY54" t="s">
        <v>604</v>
      </c>
      <c r="BZ54" t="s">
        <v>604</v>
      </c>
      <c r="CA54" t="s">
        <v>604</v>
      </c>
      <c r="CB54" t="s">
        <v>604</v>
      </c>
      <c r="CC54" t="s">
        <v>604</v>
      </c>
      <c r="CD54" t="s">
        <v>604</v>
      </c>
      <c r="CE54" t="s">
        <v>604</v>
      </c>
      <c r="CF54" t="s">
        <v>604</v>
      </c>
      <c r="CG54" t="s">
        <v>604</v>
      </c>
      <c r="CH54" t="s">
        <v>604</v>
      </c>
      <c r="CI54" t="s">
        <v>604</v>
      </c>
      <c r="CJ54" t="s">
        <v>604</v>
      </c>
      <c r="CK54" t="s">
        <v>604</v>
      </c>
      <c r="CL54" t="s">
        <v>604</v>
      </c>
      <c r="CM54" t="s">
        <v>604</v>
      </c>
      <c r="CN54" t="s">
        <v>604</v>
      </c>
      <c r="CO54" t="s">
        <v>604</v>
      </c>
      <c r="CP54" t="s">
        <v>604</v>
      </c>
      <c r="CQ54" t="s">
        <v>604</v>
      </c>
      <c r="CR54" t="s">
        <v>604</v>
      </c>
      <c r="CS54" t="s">
        <v>604</v>
      </c>
      <c r="CT54" t="s">
        <v>604</v>
      </c>
      <c r="CU54" t="s">
        <v>604</v>
      </c>
      <c r="CV54" t="s">
        <v>604</v>
      </c>
      <c r="CW54" t="s">
        <v>604</v>
      </c>
      <c r="CX54" t="s">
        <v>604</v>
      </c>
      <c r="CY54" t="s">
        <v>604</v>
      </c>
      <c r="CZ54" t="s">
        <v>604</v>
      </c>
      <c r="DA54" t="s">
        <v>604</v>
      </c>
      <c r="DB54" t="s">
        <v>604</v>
      </c>
      <c r="DC54" t="s">
        <v>604</v>
      </c>
      <c r="DD54" t="s">
        <v>604</v>
      </c>
      <c r="DE54" t="s">
        <v>604</v>
      </c>
      <c r="DF54" t="s">
        <v>604</v>
      </c>
      <c r="DG54" t="s">
        <v>604</v>
      </c>
      <c r="DH54" t="s">
        <v>604</v>
      </c>
      <c r="DI54" t="s">
        <v>604</v>
      </c>
      <c r="DJ54" t="s">
        <v>604</v>
      </c>
      <c r="DK54" t="s">
        <v>604</v>
      </c>
      <c r="DL54" t="s">
        <v>604</v>
      </c>
      <c r="DM54" t="s">
        <v>604</v>
      </c>
      <c r="DN54" t="s">
        <v>604</v>
      </c>
      <c r="DO54" t="s">
        <v>604</v>
      </c>
      <c r="DP54" t="s">
        <v>604</v>
      </c>
      <c r="DQ54" t="s">
        <v>604</v>
      </c>
      <c r="DR54" t="s">
        <v>604</v>
      </c>
      <c r="DS54" t="s">
        <v>604</v>
      </c>
      <c r="DT54" t="s">
        <v>604</v>
      </c>
      <c r="DU54" t="s">
        <v>604</v>
      </c>
      <c r="DV54" t="s">
        <v>604</v>
      </c>
      <c r="DW54" t="s">
        <v>604</v>
      </c>
      <c r="DX54" t="s">
        <v>604</v>
      </c>
      <c r="DY54" t="s">
        <v>604</v>
      </c>
      <c r="DZ54" t="s">
        <v>604</v>
      </c>
      <c r="EA54" t="s">
        <v>604</v>
      </c>
      <c r="EB54" t="s">
        <v>604</v>
      </c>
      <c r="EC54" t="s">
        <v>604</v>
      </c>
      <c r="ED54" t="s">
        <v>604</v>
      </c>
      <c r="EE54" t="s">
        <v>604</v>
      </c>
      <c r="EF54" t="s">
        <v>604</v>
      </c>
      <c r="EG54" t="s">
        <v>604</v>
      </c>
      <c r="EH54" t="s">
        <v>604</v>
      </c>
      <c r="EI54" t="s">
        <v>604</v>
      </c>
      <c r="EJ54" t="s">
        <v>604</v>
      </c>
      <c r="EK54" t="s">
        <v>604</v>
      </c>
      <c r="EL54" t="s">
        <v>604</v>
      </c>
      <c r="EM54" t="s">
        <v>604</v>
      </c>
      <c r="EN54" t="s">
        <v>604</v>
      </c>
      <c r="EO54" t="s">
        <v>604</v>
      </c>
      <c r="EP54" t="s">
        <v>604</v>
      </c>
      <c r="EQ54" t="s">
        <v>604</v>
      </c>
      <c r="ER54" t="s">
        <v>604</v>
      </c>
      <c r="ES54" t="s">
        <v>604</v>
      </c>
      <c r="ET54" t="s">
        <v>604</v>
      </c>
      <c r="EU54" t="s">
        <v>604</v>
      </c>
      <c r="EV54" t="s">
        <v>1202</v>
      </c>
      <c r="EW54" t="s">
        <v>388</v>
      </c>
      <c r="EX54" t="s">
        <v>481</v>
      </c>
      <c r="EY54">
        <v>95</v>
      </c>
      <c r="EZ54">
        <v>10</v>
      </c>
      <c r="FA54" t="s">
        <v>481</v>
      </c>
      <c r="FB54" t="s">
        <v>604</v>
      </c>
      <c r="FC54" t="s">
        <v>604</v>
      </c>
      <c r="FD54" t="s">
        <v>604</v>
      </c>
      <c r="FE54">
        <v>90</v>
      </c>
      <c r="FF54">
        <v>50</v>
      </c>
      <c r="FG54" t="s">
        <v>481</v>
      </c>
      <c r="FH54" t="s">
        <v>1203</v>
      </c>
    </row>
    <row r="55" spans="1:164" x14ac:dyDescent="0.25">
      <c r="A55">
        <v>4</v>
      </c>
      <c r="B55" t="s">
        <v>164</v>
      </c>
      <c r="C55">
        <v>46</v>
      </c>
      <c r="D55">
        <v>4601</v>
      </c>
      <c r="E55">
        <v>874737852</v>
      </c>
      <c r="F55" t="s">
        <v>165</v>
      </c>
      <c r="G55" t="s">
        <v>166</v>
      </c>
      <c r="H55" t="s">
        <v>167</v>
      </c>
      <c r="I55" t="s">
        <v>1224</v>
      </c>
      <c r="J55" t="s">
        <v>1532</v>
      </c>
      <c r="K55" t="s">
        <v>1230</v>
      </c>
      <c r="L55" t="s">
        <v>731</v>
      </c>
      <c r="M55" t="s">
        <v>731</v>
      </c>
      <c r="N55" t="s">
        <v>731</v>
      </c>
      <c r="O55" t="s">
        <v>604</v>
      </c>
      <c r="P55" t="s">
        <v>1225</v>
      </c>
      <c r="Q55" t="s">
        <v>177</v>
      </c>
      <c r="R55" t="s">
        <v>170</v>
      </c>
      <c r="T55" t="s">
        <v>1070</v>
      </c>
      <c r="U55" t="s">
        <v>209</v>
      </c>
      <c r="V55" t="s">
        <v>612</v>
      </c>
      <c r="X55" t="s">
        <v>1226</v>
      </c>
      <c r="Y55" t="s">
        <v>212</v>
      </c>
      <c r="Z55" t="s">
        <v>533</v>
      </c>
      <c r="AB55" t="s">
        <v>1163</v>
      </c>
      <c r="AC55" t="s">
        <v>209</v>
      </c>
      <c r="AD55" t="s">
        <v>191</v>
      </c>
      <c r="AF55" t="s">
        <v>1102</v>
      </c>
      <c r="AG55" t="s">
        <v>524</v>
      </c>
      <c r="AH55" t="s">
        <v>523</v>
      </c>
      <c r="AJ55" t="s">
        <v>489</v>
      </c>
      <c r="AK55" t="s">
        <v>798</v>
      </c>
      <c r="AL55" t="s">
        <v>799</v>
      </c>
      <c r="AM55" t="s">
        <v>1227</v>
      </c>
      <c r="AN55" t="s">
        <v>179</v>
      </c>
      <c r="AO55" t="s">
        <v>482</v>
      </c>
      <c r="AP55" t="s">
        <v>700</v>
      </c>
      <c r="AQ55" t="s">
        <v>1228</v>
      </c>
      <c r="AR55" t="s">
        <v>612</v>
      </c>
      <c r="AS55" t="s">
        <v>491</v>
      </c>
      <c r="AT55" t="s">
        <v>625</v>
      </c>
      <c r="AU55" t="s">
        <v>717</v>
      </c>
      <c r="AV55" t="s">
        <v>176</v>
      </c>
      <c r="AW55" t="s">
        <v>763</v>
      </c>
      <c r="AX55" t="s">
        <v>787</v>
      </c>
      <c r="AY55" t="s">
        <v>1229</v>
      </c>
      <c r="AZ55" t="s">
        <v>612</v>
      </c>
      <c r="BA55" t="s">
        <v>761</v>
      </c>
      <c r="BB55" t="s">
        <v>590</v>
      </c>
      <c r="BC55" t="s">
        <v>305</v>
      </c>
      <c r="BD55">
        <v>1529</v>
      </c>
      <c r="BE55">
        <v>1434</v>
      </c>
      <c r="BF55">
        <v>1838</v>
      </c>
      <c r="BG55">
        <v>1441</v>
      </c>
      <c r="BH55">
        <v>1150</v>
      </c>
      <c r="BY55" t="s">
        <v>496</v>
      </c>
      <c r="BZ55" t="s">
        <v>630</v>
      </c>
      <c r="CA55" t="s">
        <v>512</v>
      </c>
      <c r="CB55" t="s">
        <v>201</v>
      </c>
      <c r="CC55" t="s">
        <v>522</v>
      </c>
      <c r="CD55" t="s">
        <v>612</v>
      </c>
      <c r="CE55" t="s">
        <v>174</v>
      </c>
      <c r="CF55" t="s">
        <v>208</v>
      </c>
      <c r="CG55" t="s">
        <v>533</v>
      </c>
      <c r="CH55" t="s">
        <v>496</v>
      </c>
      <c r="CI55" t="s">
        <v>211</v>
      </c>
      <c r="CJ55" t="s">
        <v>519</v>
      </c>
      <c r="CK55" t="s">
        <v>496</v>
      </c>
      <c r="CL55" t="s">
        <v>211</v>
      </c>
      <c r="CM55" t="s">
        <v>519</v>
      </c>
      <c r="CN55" t="s">
        <v>600</v>
      </c>
      <c r="CO55" t="s">
        <v>721</v>
      </c>
      <c r="CP55" t="s">
        <v>182</v>
      </c>
      <c r="CQ55" t="s">
        <v>205</v>
      </c>
      <c r="CR55" t="s">
        <v>644</v>
      </c>
      <c r="CS55" t="s">
        <v>519</v>
      </c>
      <c r="CT55" t="s">
        <v>183</v>
      </c>
      <c r="CU55" t="s">
        <v>721</v>
      </c>
      <c r="CV55" t="s">
        <v>474</v>
      </c>
      <c r="CW55" t="s">
        <v>201</v>
      </c>
      <c r="CX55" t="s">
        <v>557</v>
      </c>
      <c r="CY55" t="s">
        <v>533</v>
      </c>
      <c r="CZ55" t="s">
        <v>201</v>
      </c>
      <c r="DA55" t="s">
        <v>186</v>
      </c>
      <c r="DB55" t="s">
        <v>474</v>
      </c>
      <c r="DC55" t="s">
        <v>207</v>
      </c>
      <c r="DD55" t="s">
        <v>351</v>
      </c>
      <c r="DE55" t="s">
        <v>474</v>
      </c>
      <c r="DF55" t="s">
        <v>183</v>
      </c>
      <c r="DG55" t="s">
        <v>629</v>
      </c>
      <c r="DH55" t="s">
        <v>533</v>
      </c>
      <c r="FH55" t="s">
        <v>1230</v>
      </c>
    </row>
    <row r="56" spans="1:164" x14ac:dyDescent="0.25">
      <c r="A56">
        <v>4</v>
      </c>
      <c r="B56" t="s">
        <v>164</v>
      </c>
      <c r="C56">
        <v>46</v>
      </c>
      <c r="D56">
        <v>4601</v>
      </c>
      <c r="E56">
        <v>922148872</v>
      </c>
      <c r="F56" t="s">
        <v>165</v>
      </c>
      <c r="G56" t="s">
        <v>166</v>
      </c>
      <c r="H56" t="s">
        <v>167</v>
      </c>
      <c r="I56" t="s">
        <v>1231</v>
      </c>
      <c r="J56" t="s">
        <v>1533</v>
      </c>
      <c r="K56" t="s">
        <v>1235</v>
      </c>
      <c r="P56" t="s">
        <v>212</v>
      </c>
      <c r="Q56" t="s">
        <v>556</v>
      </c>
      <c r="R56" t="s">
        <v>556</v>
      </c>
      <c r="T56" t="s">
        <v>722</v>
      </c>
      <c r="U56" t="s">
        <v>556</v>
      </c>
      <c r="V56" t="s">
        <v>556</v>
      </c>
      <c r="X56" t="s">
        <v>1185</v>
      </c>
      <c r="Y56" t="s">
        <v>556</v>
      </c>
      <c r="Z56" t="s">
        <v>556</v>
      </c>
      <c r="AB56" t="s">
        <v>565</v>
      </c>
      <c r="AC56" t="s">
        <v>604</v>
      </c>
      <c r="AD56" t="s">
        <v>556</v>
      </c>
      <c r="AF56" t="s">
        <v>708</v>
      </c>
      <c r="AG56" t="s">
        <v>604</v>
      </c>
      <c r="AH56" t="s">
        <v>556</v>
      </c>
      <c r="AJ56" t="s">
        <v>481</v>
      </c>
      <c r="AK56" t="s">
        <v>629</v>
      </c>
      <c r="AL56" t="s">
        <v>208</v>
      </c>
      <c r="AM56" t="s">
        <v>274</v>
      </c>
      <c r="AN56" t="s">
        <v>608</v>
      </c>
      <c r="AO56" t="s">
        <v>623</v>
      </c>
      <c r="AP56" t="s">
        <v>637</v>
      </c>
      <c r="AQ56" t="s">
        <v>439</v>
      </c>
      <c r="AR56" t="s">
        <v>505</v>
      </c>
      <c r="AS56" t="s">
        <v>550</v>
      </c>
      <c r="AT56" t="s">
        <v>351</v>
      </c>
      <c r="AU56" t="s">
        <v>642</v>
      </c>
      <c r="AV56" t="s">
        <v>480</v>
      </c>
      <c r="AW56" t="s">
        <v>536</v>
      </c>
      <c r="AX56" t="s">
        <v>1091</v>
      </c>
      <c r="AY56" t="s">
        <v>360</v>
      </c>
      <c r="AZ56" t="s">
        <v>473</v>
      </c>
      <c r="BA56" t="s">
        <v>1232</v>
      </c>
      <c r="BB56" t="s">
        <v>1233</v>
      </c>
      <c r="BC56" t="s">
        <v>953</v>
      </c>
      <c r="BD56">
        <v>2100</v>
      </c>
      <c r="BE56">
        <v>2502</v>
      </c>
      <c r="BF56">
        <v>3953</v>
      </c>
      <c r="BG56">
        <v>2108</v>
      </c>
      <c r="BH56">
        <v>2340</v>
      </c>
      <c r="BI56" t="s">
        <v>349</v>
      </c>
      <c r="BJ56" t="s">
        <v>350</v>
      </c>
      <c r="BO56" t="s">
        <v>604</v>
      </c>
      <c r="BP56" t="s">
        <v>604</v>
      </c>
      <c r="BU56" t="s">
        <v>1221</v>
      </c>
      <c r="BV56" t="s">
        <v>212</v>
      </c>
      <c r="BW56" t="s">
        <v>1234</v>
      </c>
      <c r="BX56" t="s">
        <v>195</v>
      </c>
      <c r="DI56" t="s">
        <v>174</v>
      </c>
      <c r="DJ56" t="s">
        <v>204</v>
      </c>
      <c r="DK56" t="s">
        <v>612</v>
      </c>
      <c r="DL56" t="s">
        <v>207</v>
      </c>
      <c r="DM56" t="s">
        <v>495</v>
      </c>
      <c r="DN56" t="s">
        <v>176</v>
      </c>
      <c r="DO56" t="s">
        <v>183</v>
      </c>
      <c r="DP56" t="s">
        <v>629</v>
      </c>
      <c r="DQ56" t="s">
        <v>519</v>
      </c>
      <c r="DR56" t="s">
        <v>281</v>
      </c>
      <c r="DS56" t="s">
        <v>630</v>
      </c>
      <c r="DT56" t="s">
        <v>187</v>
      </c>
      <c r="DU56" t="s">
        <v>281</v>
      </c>
      <c r="DV56" t="s">
        <v>522</v>
      </c>
      <c r="DW56" t="s">
        <v>187</v>
      </c>
      <c r="DX56" t="s">
        <v>205</v>
      </c>
      <c r="DY56" t="s">
        <v>204</v>
      </c>
      <c r="DZ56" t="s">
        <v>187</v>
      </c>
      <c r="EA56" t="s">
        <v>174</v>
      </c>
      <c r="EB56" t="s">
        <v>301</v>
      </c>
      <c r="EC56" t="s">
        <v>586</v>
      </c>
      <c r="ED56" t="s">
        <v>174</v>
      </c>
      <c r="EE56" t="s">
        <v>301</v>
      </c>
      <c r="EF56" t="s">
        <v>586</v>
      </c>
      <c r="EG56" t="s">
        <v>201</v>
      </c>
      <c r="EH56" t="s">
        <v>669</v>
      </c>
      <c r="EI56" t="s">
        <v>584</v>
      </c>
      <c r="EJ56" t="s">
        <v>174</v>
      </c>
      <c r="EK56" t="s">
        <v>560</v>
      </c>
      <c r="EL56" t="s">
        <v>819</v>
      </c>
      <c r="EM56" t="s">
        <v>201</v>
      </c>
      <c r="EN56" t="s">
        <v>566</v>
      </c>
      <c r="EO56" t="s">
        <v>967</v>
      </c>
      <c r="EP56" t="s">
        <v>205</v>
      </c>
      <c r="EQ56" t="s">
        <v>560</v>
      </c>
      <c r="ER56" t="s">
        <v>1141</v>
      </c>
      <c r="FB56" t="s">
        <v>306</v>
      </c>
      <c r="FC56" t="s">
        <v>305</v>
      </c>
      <c r="FD56" t="s">
        <v>212</v>
      </c>
      <c r="FE56">
        <v>10</v>
      </c>
      <c r="FF56">
        <v>50</v>
      </c>
      <c r="FG56" t="s">
        <v>195</v>
      </c>
      <c r="FH56" t="s">
        <v>1235</v>
      </c>
    </row>
    <row r="57" spans="1:164" x14ac:dyDescent="0.25">
      <c r="A57">
        <v>4</v>
      </c>
      <c r="B57" t="s">
        <v>164</v>
      </c>
      <c r="C57">
        <v>46</v>
      </c>
      <c r="D57">
        <v>4601</v>
      </c>
      <c r="E57">
        <v>974738546</v>
      </c>
      <c r="F57" t="s">
        <v>165</v>
      </c>
      <c r="G57" t="s">
        <v>166</v>
      </c>
      <c r="H57" t="s">
        <v>167</v>
      </c>
      <c r="I57" t="s">
        <v>1246</v>
      </c>
      <c r="J57" t="s">
        <v>1535</v>
      </c>
      <c r="K57" t="s">
        <v>1250</v>
      </c>
      <c r="L57" t="s">
        <v>1166</v>
      </c>
      <c r="M57" t="s">
        <v>660</v>
      </c>
      <c r="N57" t="s">
        <v>731</v>
      </c>
      <c r="O57" t="s">
        <v>1536</v>
      </c>
      <c r="P57" t="s">
        <v>175</v>
      </c>
      <c r="Q57" t="s">
        <v>655</v>
      </c>
      <c r="R57" t="s">
        <v>174</v>
      </c>
      <c r="T57" t="s">
        <v>1110</v>
      </c>
      <c r="U57" t="s">
        <v>505</v>
      </c>
      <c r="V57" t="s">
        <v>183</v>
      </c>
      <c r="X57" t="s">
        <v>1247</v>
      </c>
      <c r="Y57" t="s">
        <v>504</v>
      </c>
      <c r="Z57" t="s">
        <v>600</v>
      </c>
      <c r="AB57" t="s">
        <v>1248</v>
      </c>
      <c r="AC57" t="s">
        <v>504</v>
      </c>
      <c r="AD57" t="s">
        <v>525</v>
      </c>
      <c r="AF57" t="s">
        <v>1110</v>
      </c>
      <c r="AG57" t="s">
        <v>480</v>
      </c>
      <c r="AH57" t="s">
        <v>212</v>
      </c>
      <c r="AJ57" t="s">
        <v>182</v>
      </c>
      <c r="AK57" t="s">
        <v>513</v>
      </c>
      <c r="AL57" t="s">
        <v>656</v>
      </c>
      <c r="AM57" t="s">
        <v>211</v>
      </c>
      <c r="AN57" t="s">
        <v>512</v>
      </c>
      <c r="AO57" t="s">
        <v>914</v>
      </c>
      <c r="AP57" t="s">
        <v>656</v>
      </c>
      <c r="AQ57" t="s">
        <v>202</v>
      </c>
      <c r="AR57" t="s">
        <v>519</v>
      </c>
      <c r="AS57" t="s">
        <v>782</v>
      </c>
      <c r="AT57" t="s">
        <v>808</v>
      </c>
      <c r="AU57" t="s">
        <v>202</v>
      </c>
      <c r="AV57" t="s">
        <v>176</v>
      </c>
      <c r="AW57" t="s">
        <v>794</v>
      </c>
      <c r="AX57" t="s">
        <v>904</v>
      </c>
      <c r="AY57" t="s">
        <v>598</v>
      </c>
      <c r="AZ57" t="s">
        <v>519</v>
      </c>
      <c r="BA57" t="s">
        <v>200</v>
      </c>
      <c r="BB57" t="s">
        <v>1249</v>
      </c>
      <c r="BC57" t="s">
        <v>266</v>
      </c>
      <c r="BD57">
        <v>1507</v>
      </c>
      <c r="BE57">
        <v>1565</v>
      </c>
      <c r="BF57">
        <v>1578</v>
      </c>
      <c r="BG57">
        <v>1485</v>
      </c>
      <c r="BH57">
        <v>1699</v>
      </c>
      <c r="BY57" t="s">
        <v>216</v>
      </c>
      <c r="BZ57" t="s">
        <v>198</v>
      </c>
      <c r="CA57" t="s">
        <v>179</v>
      </c>
      <c r="CB57" t="s">
        <v>216</v>
      </c>
      <c r="CC57" t="s">
        <v>206</v>
      </c>
      <c r="CD57" t="s">
        <v>179</v>
      </c>
      <c r="CE57" t="s">
        <v>216</v>
      </c>
      <c r="CF57" t="s">
        <v>204</v>
      </c>
      <c r="CG57" t="s">
        <v>179</v>
      </c>
      <c r="CH57" t="s">
        <v>177</v>
      </c>
      <c r="CI57" t="s">
        <v>206</v>
      </c>
      <c r="CJ57" t="s">
        <v>524</v>
      </c>
      <c r="CK57" t="s">
        <v>210</v>
      </c>
      <c r="CL57" t="s">
        <v>213</v>
      </c>
      <c r="CM57" t="s">
        <v>209</v>
      </c>
      <c r="CN57" t="s">
        <v>209</v>
      </c>
      <c r="CO57" t="s">
        <v>202</v>
      </c>
      <c r="CP57" t="s">
        <v>525</v>
      </c>
      <c r="CQ57" t="s">
        <v>281</v>
      </c>
      <c r="CR57" t="s">
        <v>204</v>
      </c>
      <c r="CS57" t="s">
        <v>215</v>
      </c>
      <c r="CT57" t="s">
        <v>210</v>
      </c>
      <c r="CU57" t="s">
        <v>495</v>
      </c>
      <c r="CV57" t="s">
        <v>210</v>
      </c>
      <c r="CW57" t="s">
        <v>216</v>
      </c>
      <c r="CX57" t="s">
        <v>486</v>
      </c>
      <c r="CY57" t="s">
        <v>210</v>
      </c>
      <c r="CZ57" t="s">
        <v>217</v>
      </c>
      <c r="DA57" t="s">
        <v>204</v>
      </c>
      <c r="DB57" t="s">
        <v>203</v>
      </c>
      <c r="DC57" t="s">
        <v>217</v>
      </c>
      <c r="DD57" t="s">
        <v>495</v>
      </c>
      <c r="DE57" t="s">
        <v>588</v>
      </c>
      <c r="DF57" t="s">
        <v>216</v>
      </c>
      <c r="DG57" t="s">
        <v>486</v>
      </c>
      <c r="DH57" t="s">
        <v>588</v>
      </c>
      <c r="FH57" t="s">
        <v>1250</v>
      </c>
    </row>
    <row r="58" spans="1:164" x14ac:dyDescent="0.25">
      <c r="A58">
        <v>4</v>
      </c>
      <c r="B58" t="s">
        <v>164</v>
      </c>
      <c r="C58">
        <v>46</v>
      </c>
      <c r="D58">
        <v>4601</v>
      </c>
      <c r="E58">
        <v>974738635</v>
      </c>
      <c r="F58" t="s">
        <v>165</v>
      </c>
      <c r="G58" t="s">
        <v>166</v>
      </c>
      <c r="H58" t="s">
        <v>167</v>
      </c>
      <c r="I58" t="s">
        <v>1251</v>
      </c>
      <c r="J58" t="s">
        <v>1537</v>
      </c>
      <c r="K58" t="s">
        <v>1264</v>
      </c>
      <c r="L58" t="s">
        <v>1538</v>
      </c>
      <c r="M58" t="s">
        <v>744</v>
      </c>
      <c r="N58" t="s">
        <v>731</v>
      </c>
      <c r="O58" t="s">
        <v>731</v>
      </c>
      <c r="P58" t="s">
        <v>1252</v>
      </c>
      <c r="Q58" t="s">
        <v>195</v>
      </c>
      <c r="R58" t="s">
        <v>588</v>
      </c>
      <c r="T58" t="s">
        <v>1253</v>
      </c>
      <c r="U58" t="s">
        <v>195</v>
      </c>
      <c r="V58" t="s">
        <v>489</v>
      </c>
      <c r="X58" t="s">
        <v>1254</v>
      </c>
      <c r="Y58" t="s">
        <v>187</v>
      </c>
      <c r="Z58" t="s">
        <v>180</v>
      </c>
      <c r="AB58" t="s">
        <v>1255</v>
      </c>
      <c r="AC58" t="s">
        <v>182</v>
      </c>
      <c r="AD58" t="s">
        <v>582</v>
      </c>
      <c r="AF58" t="s">
        <v>869</v>
      </c>
      <c r="AG58" t="s">
        <v>612</v>
      </c>
      <c r="AH58" t="s">
        <v>216</v>
      </c>
      <c r="AJ58" t="s">
        <v>728</v>
      </c>
      <c r="AK58" t="s">
        <v>1256</v>
      </c>
      <c r="AL58" t="s">
        <v>1257</v>
      </c>
      <c r="AM58" t="s">
        <v>206</v>
      </c>
      <c r="AN58" t="s">
        <v>600</v>
      </c>
      <c r="AO58" t="s">
        <v>1258</v>
      </c>
      <c r="AP58" t="s">
        <v>826</v>
      </c>
      <c r="AQ58" t="s">
        <v>721</v>
      </c>
      <c r="AR58" t="s">
        <v>183</v>
      </c>
      <c r="AS58" t="s">
        <v>1259</v>
      </c>
      <c r="AT58" t="s">
        <v>878</v>
      </c>
      <c r="AU58" t="s">
        <v>633</v>
      </c>
      <c r="AV58" t="s">
        <v>201</v>
      </c>
      <c r="AW58" t="s">
        <v>1260</v>
      </c>
      <c r="AX58" t="s">
        <v>854</v>
      </c>
      <c r="AY58" t="s">
        <v>389</v>
      </c>
      <c r="AZ58" t="s">
        <v>600</v>
      </c>
      <c r="BA58" t="s">
        <v>1261</v>
      </c>
      <c r="BB58" t="s">
        <v>1262</v>
      </c>
      <c r="BC58" t="s">
        <v>389</v>
      </c>
      <c r="BD58">
        <v>1809</v>
      </c>
      <c r="BE58">
        <v>1775</v>
      </c>
      <c r="BF58">
        <v>1808</v>
      </c>
      <c r="BG58">
        <v>1812</v>
      </c>
      <c r="BH58">
        <v>1796</v>
      </c>
      <c r="BI58" t="s">
        <v>349</v>
      </c>
      <c r="BJ58" t="s">
        <v>350</v>
      </c>
      <c r="BK58" t="s">
        <v>263</v>
      </c>
      <c r="BL58" t="s">
        <v>182</v>
      </c>
      <c r="BM58" t="s">
        <v>550</v>
      </c>
      <c r="BN58" t="s">
        <v>474</v>
      </c>
      <c r="BO58" t="s">
        <v>633</v>
      </c>
      <c r="BP58" t="s">
        <v>612</v>
      </c>
      <c r="BQ58" t="s">
        <v>186</v>
      </c>
      <c r="BR58" t="s">
        <v>474</v>
      </c>
      <c r="BS58" t="s">
        <v>1263</v>
      </c>
      <c r="BT58" t="s">
        <v>967</v>
      </c>
      <c r="BU58" t="s">
        <v>1024</v>
      </c>
      <c r="BV58" t="s">
        <v>818</v>
      </c>
      <c r="BW58" t="s">
        <v>1092</v>
      </c>
      <c r="BX58" t="s">
        <v>692</v>
      </c>
      <c r="BY58" t="s">
        <v>177</v>
      </c>
      <c r="BZ58" t="s">
        <v>202</v>
      </c>
      <c r="CA58" t="s">
        <v>177</v>
      </c>
      <c r="CB58" t="s">
        <v>216</v>
      </c>
      <c r="CC58" t="s">
        <v>566</v>
      </c>
      <c r="CD58" t="s">
        <v>174</v>
      </c>
      <c r="CE58" t="s">
        <v>216</v>
      </c>
      <c r="CF58" t="s">
        <v>214</v>
      </c>
      <c r="CG58" t="s">
        <v>281</v>
      </c>
      <c r="CH58" t="s">
        <v>174</v>
      </c>
      <c r="CI58" t="s">
        <v>211</v>
      </c>
      <c r="CJ58" t="s">
        <v>523</v>
      </c>
      <c r="CK58" t="s">
        <v>207</v>
      </c>
      <c r="CL58" t="s">
        <v>204</v>
      </c>
      <c r="CM58" t="s">
        <v>524</v>
      </c>
      <c r="CN58" t="s">
        <v>281</v>
      </c>
      <c r="CO58" t="s">
        <v>494</v>
      </c>
      <c r="CP58" t="s">
        <v>523</v>
      </c>
      <c r="CQ58" t="s">
        <v>216</v>
      </c>
      <c r="CR58" t="s">
        <v>213</v>
      </c>
      <c r="CS58" t="s">
        <v>212</v>
      </c>
      <c r="CT58" t="s">
        <v>217</v>
      </c>
      <c r="CU58" t="s">
        <v>213</v>
      </c>
      <c r="CV58" t="s">
        <v>212</v>
      </c>
      <c r="CW58" t="s">
        <v>217</v>
      </c>
      <c r="CX58" t="s">
        <v>202</v>
      </c>
      <c r="CY58" t="s">
        <v>212</v>
      </c>
      <c r="CZ58" t="s">
        <v>281</v>
      </c>
      <c r="DA58" t="s">
        <v>495</v>
      </c>
      <c r="DB58" t="s">
        <v>183</v>
      </c>
      <c r="DC58" t="s">
        <v>216</v>
      </c>
      <c r="DD58" t="s">
        <v>301</v>
      </c>
      <c r="DE58" t="s">
        <v>183</v>
      </c>
      <c r="DF58" t="s">
        <v>177</v>
      </c>
      <c r="DG58" t="s">
        <v>204</v>
      </c>
      <c r="DH58" t="s">
        <v>183</v>
      </c>
      <c r="DI58" t="s">
        <v>177</v>
      </c>
      <c r="DJ58" t="s">
        <v>1064</v>
      </c>
      <c r="DK58" t="s">
        <v>474</v>
      </c>
      <c r="DL58" t="s">
        <v>207</v>
      </c>
      <c r="DM58" t="s">
        <v>204</v>
      </c>
      <c r="DN58" t="s">
        <v>523</v>
      </c>
      <c r="DO58" t="s">
        <v>216</v>
      </c>
      <c r="DP58" t="s">
        <v>633</v>
      </c>
      <c r="DQ58" t="s">
        <v>533</v>
      </c>
      <c r="DR58" t="s">
        <v>174</v>
      </c>
      <c r="DS58" t="s">
        <v>560</v>
      </c>
      <c r="DT58" t="s">
        <v>722</v>
      </c>
      <c r="DU58" t="s">
        <v>207</v>
      </c>
      <c r="DV58" t="s">
        <v>566</v>
      </c>
      <c r="DW58" t="s">
        <v>722</v>
      </c>
      <c r="DX58" t="s">
        <v>207</v>
      </c>
      <c r="DY58" t="s">
        <v>669</v>
      </c>
      <c r="DZ58" t="s">
        <v>730</v>
      </c>
      <c r="EA58" t="s">
        <v>207</v>
      </c>
      <c r="EB58" t="s">
        <v>301</v>
      </c>
      <c r="EC58" t="s">
        <v>402</v>
      </c>
      <c r="ED58" t="s">
        <v>177</v>
      </c>
      <c r="EE58" t="s">
        <v>566</v>
      </c>
      <c r="EF58" t="s">
        <v>395</v>
      </c>
      <c r="EG58" t="s">
        <v>210</v>
      </c>
      <c r="EH58" t="s">
        <v>669</v>
      </c>
      <c r="EI58" t="s">
        <v>395</v>
      </c>
      <c r="EJ58" t="s">
        <v>207</v>
      </c>
      <c r="EK58" t="s">
        <v>495</v>
      </c>
      <c r="EL58" t="s">
        <v>692</v>
      </c>
      <c r="EM58" t="s">
        <v>210</v>
      </c>
      <c r="EN58" t="s">
        <v>644</v>
      </c>
      <c r="EO58" t="s">
        <v>1043</v>
      </c>
      <c r="EP58" t="s">
        <v>216</v>
      </c>
      <c r="EQ58" t="s">
        <v>213</v>
      </c>
      <c r="ER58" t="s">
        <v>692</v>
      </c>
      <c r="ES58" t="s">
        <v>731</v>
      </c>
      <c r="ET58" t="s">
        <v>731</v>
      </c>
      <c r="EU58" t="s">
        <v>567</v>
      </c>
      <c r="EV58" t="s">
        <v>301</v>
      </c>
      <c r="EW58" t="s">
        <v>190</v>
      </c>
      <c r="EX58" t="s">
        <v>684</v>
      </c>
      <c r="EY58">
        <v>100</v>
      </c>
      <c r="EZ58">
        <v>60</v>
      </c>
      <c r="FA58" t="s">
        <v>1139</v>
      </c>
      <c r="FB58" t="s">
        <v>468</v>
      </c>
      <c r="FC58" t="s">
        <v>389</v>
      </c>
      <c r="FD58" t="s">
        <v>819</v>
      </c>
      <c r="FE58">
        <v>90</v>
      </c>
      <c r="FF58">
        <v>50</v>
      </c>
      <c r="FG58" t="s">
        <v>682</v>
      </c>
      <c r="FH58" t="s">
        <v>1264</v>
      </c>
    </row>
    <row r="59" spans="1:164" x14ac:dyDescent="0.25">
      <c r="A59">
        <v>4</v>
      </c>
      <c r="B59" t="s">
        <v>164</v>
      </c>
      <c r="C59">
        <v>46</v>
      </c>
      <c r="D59">
        <v>4601</v>
      </c>
      <c r="E59">
        <v>974738317</v>
      </c>
      <c r="F59" t="s">
        <v>165</v>
      </c>
      <c r="G59" t="s">
        <v>166</v>
      </c>
      <c r="H59" t="s">
        <v>167</v>
      </c>
      <c r="I59" t="s">
        <v>1273</v>
      </c>
      <c r="J59" t="s">
        <v>1540</v>
      </c>
      <c r="K59" t="s">
        <v>1281</v>
      </c>
      <c r="L59" t="s">
        <v>486</v>
      </c>
      <c r="M59" t="s">
        <v>604</v>
      </c>
      <c r="N59" t="s">
        <v>604</v>
      </c>
      <c r="O59" t="s">
        <v>731</v>
      </c>
      <c r="P59" t="s">
        <v>1274</v>
      </c>
      <c r="Q59" t="s">
        <v>530</v>
      </c>
      <c r="R59" t="s">
        <v>588</v>
      </c>
      <c r="T59" t="s">
        <v>1275</v>
      </c>
      <c r="U59" t="s">
        <v>530</v>
      </c>
      <c r="V59" t="s">
        <v>171</v>
      </c>
      <c r="X59" t="s">
        <v>1276</v>
      </c>
      <c r="Y59" t="s">
        <v>505</v>
      </c>
      <c r="Z59" t="s">
        <v>588</v>
      </c>
      <c r="AB59" t="s">
        <v>1277</v>
      </c>
      <c r="AC59" t="s">
        <v>581</v>
      </c>
      <c r="AD59" t="s">
        <v>595</v>
      </c>
      <c r="AF59" t="s">
        <v>1266</v>
      </c>
      <c r="AG59" t="s">
        <v>501</v>
      </c>
      <c r="AH59" t="s">
        <v>474</v>
      </c>
      <c r="AJ59" t="s">
        <v>588</v>
      </c>
      <c r="AK59" t="s">
        <v>964</v>
      </c>
      <c r="AL59" t="s">
        <v>1278</v>
      </c>
      <c r="AM59" t="s">
        <v>351</v>
      </c>
      <c r="AN59" t="s">
        <v>588</v>
      </c>
      <c r="AO59" t="s">
        <v>1279</v>
      </c>
      <c r="AP59" t="s">
        <v>596</v>
      </c>
      <c r="AQ59" t="s">
        <v>825</v>
      </c>
      <c r="AR59" t="s">
        <v>171</v>
      </c>
      <c r="AS59" t="s">
        <v>1079</v>
      </c>
      <c r="AT59" t="s">
        <v>1271</v>
      </c>
      <c r="AU59" t="s">
        <v>598</v>
      </c>
      <c r="AV59" t="s">
        <v>595</v>
      </c>
      <c r="AW59" t="s">
        <v>1157</v>
      </c>
      <c r="AX59" t="s">
        <v>1060</v>
      </c>
      <c r="AY59" t="s">
        <v>721</v>
      </c>
      <c r="AZ59" t="s">
        <v>588</v>
      </c>
      <c r="BA59" t="s">
        <v>1280</v>
      </c>
      <c r="BB59" t="s">
        <v>1156</v>
      </c>
      <c r="BC59" t="s">
        <v>263</v>
      </c>
      <c r="BD59">
        <v>1645</v>
      </c>
      <c r="BE59">
        <v>1653</v>
      </c>
      <c r="BF59">
        <v>1658</v>
      </c>
      <c r="BG59">
        <v>1696</v>
      </c>
      <c r="BH59">
        <v>1635</v>
      </c>
      <c r="BY59" t="s">
        <v>205</v>
      </c>
      <c r="BZ59" t="s">
        <v>213</v>
      </c>
      <c r="CA59" t="s">
        <v>584</v>
      </c>
      <c r="CB59" t="s">
        <v>281</v>
      </c>
      <c r="CC59" t="s">
        <v>497</v>
      </c>
      <c r="CD59" t="s">
        <v>586</v>
      </c>
      <c r="CE59" t="s">
        <v>205</v>
      </c>
      <c r="CF59" t="s">
        <v>495</v>
      </c>
      <c r="CG59" t="s">
        <v>586</v>
      </c>
      <c r="CH59" t="s">
        <v>174</v>
      </c>
      <c r="CI59" t="s">
        <v>213</v>
      </c>
      <c r="CJ59" t="s">
        <v>722</v>
      </c>
      <c r="CK59" t="s">
        <v>205</v>
      </c>
      <c r="CL59" t="s">
        <v>495</v>
      </c>
      <c r="CM59" t="s">
        <v>734</v>
      </c>
      <c r="CN59" t="s">
        <v>496</v>
      </c>
      <c r="CO59" t="s">
        <v>213</v>
      </c>
      <c r="CP59" t="s">
        <v>734</v>
      </c>
      <c r="CQ59" t="s">
        <v>201</v>
      </c>
      <c r="CR59" t="s">
        <v>497</v>
      </c>
      <c r="CS59" t="s">
        <v>1027</v>
      </c>
      <c r="CT59" t="s">
        <v>174</v>
      </c>
      <c r="CU59" t="s">
        <v>213</v>
      </c>
      <c r="CV59" t="s">
        <v>728</v>
      </c>
      <c r="CW59" t="s">
        <v>496</v>
      </c>
      <c r="CX59" t="s">
        <v>495</v>
      </c>
      <c r="CY59" t="s">
        <v>1027</v>
      </c>
      <c r="CZ59" t="s">
        <v>201</v>
      </c>
      <c r="DA59" t="s">
        <v>495</v>
      </c>
      <c r="DB59" t="s">
        <v>180</v>
      </c>
      <c r="DC59" t="s">
        <v>205</v>
      </c>
      <c r="DD59" t="s">
        <v>644</v>
      </c>
      <c r="DE59" t="s">
        <v>601</v>
      </c>
      <c r="DF59" t="s">
        <v>726</v>
      </c>
      <c r="DG59" t="s">
        <v>213</v>
      </c>
      <c r="DH59" t="s">
        <v>180</v>
      </c>
      <c r="FH59" t="s">
        <v>1281</v>
      </c>
    </row>
    <row r="60" spans="1:164" x14ac:dyDescent="0.25">
      <c r="A60">
        <v>4</v>
      </c>
      <c r="B60" t="s">
        <v>164</v>
      </c>
      <c r="C60">
        <v>46</v>
      </c>
      <c r="D60">
        <v>4601</v>
      </c>
      <c r="E60">
        <v>974738600</v>
      </c>
      <c r="F60" t="s">
        <v>165</v>
      </c>
      <c r="G60" t="s">
        <v>166</v>
      </c>
      <c r="H60" t="s">
        <v>167</v>
      </c>
      <c r="I60" t="s">
        <v>1282</v>
      </c>
      <c r="J60" t="s">
        <v>1541</v>
      </c>
      <c r="K60" t="s">
        <v>1291</v>
      </c>
      <c r="P60" t="s">
        <v>1283</v>
      </c>
      <c r="Q60" t="s">
        <v>187</v>
      </c>
      <c r="R60" t="s">
        <v>604</v>
      </c>
      <c r="T60" t="s">
        <v>781</v>
      </c>
      <c r="U60" t="s">
        <v>474</v>
      </c>
      <c r="V60" t="s">
        <v>508</v>
      </c>
      <c r="X60" t="s">
        <v>1284</v>
      </c>
      <c r="Y60" t="s">
        <v>525</v>
      </c>
      <c r="Z60" t="s">
        <v>655</v>
      </c>
      <c r="AB60" t="s">
        <v>579</v>
      </c>
      <c r="AC60" t="s">
        <v>525</v>
      </c>
      <c r="AD60" t="s">
        <v>508</v>
      </c>
      <c r="AF60" t="s">
        <v>959</v>
      </c>
      <c r="AG60" t="s">
        <v>529</v>
      </c>
      <c r="AH60" t="s">
        <v>604</v>
      </c>
      <c r="AJ60" t="s">
        <v>524</v>
      </c>
      <c r="AK60" t="s">
        <v>1040</v>
      </c>
      <c r="AL60" t="s">
        <v>1156</v>
      </c>
      <c r="AM60" t="s">
        <v>494</v>
      </c>
      <c r="AN60" t="s">
        <v>595</v>
      </c>
      <c r="AO60" t="s">
        <v>1157</v>
      </c>
      <c r="AP60" t="s">
        <v>1202</v>
      </c>
      <c r="AQ60" t="s">
        <v>202</v>
      </c>
      <c r="AR60" t="s">
        <v>191</v>
      </c>
      <c r="AS60" t="s">
        <v>1285</v>
      </c>
      <c r="AT60" t="s">
        <v>589</v>
      </c>
      <c r="AU60" t="s">
        <v>644</v>
      </c>
      <c r="AV60" t="s">
        <v>588</v>
      </c>
      <c r="AW60" t="s">
        <v>1041</v>
      </c>
      <c r="AX60" t="s">
        <v>1080</v>
      </c>
      <c r="AY60" t="s">
        <v>644</v>
      </c>
      <c r="AZ60" t="s">
        <v>588</v>
      </c>
      <c r="BA60" t="s">
        <v>1280</v>
      </c>
      <c r="BB60" t="s">
        <v>1083</v>
      </c>
      <c r="BC60" t="s">
        <v>558</v>
      </c>
      <c r="BD60">
        <v>1980</v>
      </c>
      <c r="BE60">
        <v>1949</v>
      </c>
      <c r="BF60">
        <v>1990</v>
      </c>
      <c r="BG60">
        <v>1999</v>
      </c>
      <c r="BH60">
        <v>1991</v>
      </c>
      <c r="BI60" t="s">
        <v>349</v>
      </c>
      <c r="BJ60" t="s">
        <v>350</v>
      </c>
      <c r="BK60" t="s">
        <v>266</v>
      </c>
      <c r="BL60" t="s">
        <v>581</v>
      </c>
      <c r="BM60" t="s">
        <v>266</v>
      </c>
      <c r="BN60" t="s">
        <v>505</v>
      </c>
      <c r="BO60" t="s">
        <v>604</v>
      </c>
      <c r="BP60" t="s">
        <v>604</v>
      </c>
      <c r="BQ60" t="s">
        <v>190</v>
      </c>
      <c r="BR60" t="s">
        <v>501</v>
      </c>
      <c r="BS60" t="s">
        <v>945</v>
      </c>
      <c r="BT60" t="s">
        <v>548</v>
      </c>
      <c r="BU60" t="s">
        <v>545</v>
      </c>
      <c r="BV60" t="s">
        <v>970</v>
      </c>
      <c r="BW60" t="s">
        <v>1286</v>
      </c>
      <c r="BX60" t="s">
        <v>559</v>
      </c>
      <c r="DK60" t="s">
        <v>556</v>
      </c>
      <c r="DL60" t="s">
        <v>201</v>
      </c>
      <c r="DM60" t="s">
        <v>560</v>
      </c>
      <c r="DN60" t="s">
        <v>975</v>
      </c>
      <c r="DO60" t="s">
        <v>174</v>
      </c>
      <c r="DP60" t="s">
        <v>558</v>
      </c>
      <c r="DQ60" t="s">
        <v>952</v>
      </c>
      <c r="DR60" t="s">
        <v>177</v>
      </c>
      <c r="DS60" t="s">
        <v>564</v>
      </c>
      <c r="DT60" t="s">
        <v>1004</v>
      </c>
      <c r="DU60" t="s">
        <v>207</v>
      </c>
      <c r="DV60" t="s">
        <v>643</v>
      </c>
      <c r="DW60" t="s">
        <v>561</v>
      </c>
      <c r="DX60" t="s">
        <v>177</v>
      </c>
      <c r="DY60" t="s">
        <v>564</v>
      </c>
      <c r="DZ60" t="s">
        <v>561</v>
      </c>
      <c r="EA60" t="s">
        <v>174</v>
      </c>
      <c r="EB60" t="s">
        <v>560</v>
      </c>
      <c r="EC60" t="s">
        <v>1186</v>
      </c>
      <c r="ED60" t="s">
        <v>281</v>
      </c>
      <c r="EE60" t="s">
        <v>560</v>
      </c>
      <c r="EF60" t="s">
        <v>1287</v>
      </c>
      <c r="EG60" t="s">
        <v>177</v>
      </c>
      <c r="EH60" t="s">
        <v>558</v>
      </c>
      <c r="EI60" t="s">
        <v>954</v>
      </c>
      <c r="EJ60" t="s">
        <v>201</v>
      </c>
      <c r="EK60" t="s">
        <v>564</v>
      </c>
      <c r="EL60" t="s">
        <v>1239</v>
      </c>
      <c r="EM60" t="s">
        <v>201</v>
      </c>
      <c r="EN60" t="s">
        <v>643</v>
      </c>
      <c r="EO60" t="s">
        <v>1239</v>
      </c>
      <c r="EP60" t="s">
        <v>207</v>
      </c>
      <c r="EQ60" t="s">
        <v>564</v>
      </c>
      <c r="ER60" t="s">
        <v>1288</v>
      </c>
      <c r="ES60" t="s">
        <v>731</v>
      </c>
      <c r="ET60" t="s">
        <v>301</v>
      </c>
      <c r="EU60" t="s">
        <v>1289</v>
      </c>
      <c r="EV60" t="s">
        <v>301</v>
      </c>
      <c r="EW60" t="s">
        <v>623</v>
      </c>
      <c r="EX60" t="s">
        <v>1290</v>
      </c>
      <c r="EY60">
        <v>110</v>
      </c>
      <c r="EZ60">
        <v>80</v>
      </c>
      <c r="FA60" t="s">
        <v>572</v>
      </c>
      <c r="FB60" t="s">
        <v>305</v>
      </c>
      <c r="FC60" t="s">
        <v>623</v>
      </c>
      <c r="FD60" t="s">
        <v>855</v>
      </c>
      <c r="FE60">
        <v>90</v>
      </c>
      <c r="FF60">
        <v>50</v>
      </c>
      <c r="FG60" t="s">
        <v>858</v>
      </c>
      <c r="FH60" t="s">
        <v>1291</v>
      </c>
    </row>
    <row r="61" spans="1:164" x14ac:dyDescent="0.25">
      <c r="A61">
        <v>4</v>
      </c>
      <c r="B61" t="s">
        <v>164</v>
      </c>
      <c r="C61">
        <v>46</v>
      </c>
      <c r="D61">
        <v>4601</v>
      </c>
      <c r="E61">
        <v>974737825</v>
      </c>
      <c r="F61" t="s">
        <v>165</v>
      </c>
      <c r="G61" t="s">
        <v>166</v>
      </c>
      <c r="H61" t="s">
        <v>167</v>
      </c>
      <c r="I61" t="s">
        <v>1299</v>
      </c>
      <c r="J61" t="s">
        <v>1543</v>
      </c>
      <c r="K61" t="s">
        <v>1302</v>
      </c>
      <c r="L61" t="s">
        <v>1048</v>
      </c>
      <c r="M61" t="s">
        <v>809</v>
      </c>
      <c r="N61" t="s">
        <v>604</v>
      </c>
      <c r="O61" t="s">
        <v>731</v>
      </c>
      <c r="P61" t="s">
        <v>503</v>
      </c>
      <c r="Q61" t="s">
        <v>182</v>
      </c>
      <c r="R61" t="s">
        <v>170</v>
      </c>
      <c r="T61" t="s">
        <v>1300</v>
      </c>
      <c r="U61" t="s">
        <v>173</v>
      </c>
      <c r="V61" t="s">
        <v>173</v>
      </c>
      <c r="X61" t="s">
        <v>509</v>
      </c>
      <c r="Y61" t="s">
        <v>170</v>
      </c>
      <c r="Z61" t="s">
        <v>476</v>
      </c>
      <c r="AB61" t="s">
        <v>429</v>
      </c>
      <c r="AC61" t="s">
        <v>473</v>
      </c>
      <c r="AD61" t="s">
        <v>504</v>
      </c>
      <c r="AF61" t="s">
        <v>1301</v>
      </c>
      <c r="AG61" t="s">
        <v>476</v>
      </c>
      <c r="AH61" t="s">
        <v>655</v>
      </c>
      <c r="AJ61" t="s">
        <v>182</v>
      </c>
      <c r="AK61" t="s">
        <v>1112</v>
      </c>
      <c r="AL61" t="s">
        <v>616</v>
      </c>
      <c r="AM61" t="s">
        <v>214</v>
      </c>
      <c r="AN61" t="s">
        <v>182</v>
      </c>
      <c r="AO61" t="s">
        <v>782</v>
      </c>
      <c r="AP61" t="s">
        <v>660</v>
      </c>
      <c r="AQ61" t="s">
        <v>211</v>
      </c>
      <c r="AR61" t="s">
        <v>612</v>
      </c>
      <c r="AS61" t="s">
        <v>702</v>
      </c>
      <c r="AT61" t="s">
        <v>982</v>
      </c>
      <c r="AU61" t="s">
        <v>211</v>
      </c>
      <c r="AV61" t="s">
        <v>519</v>
      </c>
      <c r="AW61" t="s">
        <v>658</v>
      </c>
      <c r="AX61" t="s">
        <v>518</v>
      </c>
      <c r="AY61" t="s">
        <v>486</v>
      </c>
      <c r="AZ61" t="s">
        <v>512</v>
      </c>
      <c r="BA61" t="s">
        <v>1121</v>
      </c>
      <c r="BB61" t="s">
        <v>808</v>
      </c>
      <c r="BC61" t="s">
        <v>632</v>
      </c>
      <c r="BD61">
        <v>1590</v>
      </c>
      <c r="BE61">
        <v>1673</v>
      </c>
      <c r="BF61">
        <v>1680</v>
      </c>
      <c r="BG61">
        <v>1701</v>
      </c>
      <c r="BH61">
        <v>1695</v>
      </c>
      <c r="CA61" t="s">
        <v>556</v>
      </c>
      <c r="CB61" t="s">
        <v>201</v>
      </c>
      <c r="CC61" t="s">
        <v>214</v>
      </c>
      <c r="CD61" t="s">
        <v>207</v>
      </c>
      <c r="CE61" t="s">
        <v>201</v>
      </c>
      <c r="CF61" t="s">
        <v>213</v>
      </c>
      <c r="CG61" t="s">
        <v>207</v>
      </c>
      <c r="CH61" t="s">
        <v>207</v>
      </c>
      <c r="CI61" t="s">
        <v>557</v>
      </c>
      <c r="CJ61" t="s">
        <v>177</v>
      </c>
      <c r="CK61" t="s">
        <v>281</v>
      </c>
      <c r="CL61" t="s">
        <v>497</v>
      </c>
      <c r="CM61" t="s">
        <v>216</v>
      </c>
      <c r="CN61" t="s">
        <v>281</v>
      </c>
      <c r="CO61" t="s">
        <v>644</v>
      </c>
      <c r="CP61" t="s">
        <v>216</v>
      </c>
      <c r="CQ61" t="s">
        <v>174</v>
      </c>
      <c r="CR61" t="s">
        <v>213</v>
      </c>
      <c r="CS61" t="s">
        <v>525</v>
      </c>
      <c r="CT61" t="s">
        <v>210</v>
      </c>
      <c r="CU61" t="s">
        <v>204</v>
      </c>
      <c r="CV61" t="s">
        <v>525</v>
      </c>
      <c r="CW61" t="s">
        <v>177</v>
      </c>
      <c r="CX61" t="s">
        <v>494</v>
      </c>
      <c r="CY61" t="s">
        <v>209</v>
      </c>
      <c r="CZ61" t="s">
        <v>210</v>
      </c>
      <c r="DA61" t="s">
        <v>214</v>
      </c>
      <c r="DB61" t="s">
        <v>524</v>
      </c>
      <c r="DC61" t="s">
        <v>525</v>
      </c>
      <c r="DD61" t="s">
        <v>494</v>
      </c>
      <c r="DE61" t="s">
        <v>524</v>
      </c>
      <c r="DF61" t="s">
        <v>177</v>
      </c>
      <c r="DG61" t="s">
        <v>206</v>
      </c>
      <c r="DH61" t="s">
        <v>203</v>
      </c>
      <c r="FH61" t="s">
        <v>1302</v>
      </c>
    </row>
    <row r="62" spans="1:164" x14ac:dyDescent="0.25">
      <c r="A62">
        <v>4</v>
      </c>
      <c r="B62" t="s">
        <v>164</v>
      </c>
      <c r="C62">
        <v>46</v>
      </c>
      <c r="D62">
        <v>4601</v>
      </c>
      <c r="E62">
        <v>874737992</v>
      </c>
      <c r="F62" t="s">
        <v>165</v>
      </c>
      <c r="G62" t="s">
        <v>166</v>
      </c>
      <c r="H62" t="s">
        <v>167</v>
      </c>
      <c r="I62" t="s">
        <v>1303</v>
      </c>
      <c r="J62" t="s">
        <v>1544</v>
      </c>
      <c r="K62" t="s">
        <v>1324</v>
      </c>
      <c r="P62" t="s">
        <v>1304</v>
      </c>
      <c r="Q62" t="s">
        <v>195</v>
      </c>
      <c r="R62" t="s">
        <v>593</v>
      </c>
      <c r="T62" t="s">
        <v>1305</v>
      </c>
      <c r="U62" t="s">
        <v>187</v>
      </c>
      <c r="V62" t="s">
        <v>210</v>
      </c>
      <c r="X62" t="s">
        <v>1306</v>
      </c>
      <c r="Y62" t="s">
        <v>281</v>
      </c>
      <c r="Z62" t="s">
        <v>529</v>
      </c>
      <c r="AB62" t="s">
        <v>1307</v>
      </c>
      <c r="AC62" t="s">
        <v>201</v>
      </c>
      <c r="AD62" t="s">
        <v>281</v>
      </c>
      <c r="AF62" t="s">
        <v>1308</v>
      </c>
      <c r="AG62" t="s">
        <v>595</v>
      </c>
      <c r="AH62" t="s">
        <v>174</v>
      </c>
      <c r="AJ62" t="s">
        <v>600</v>
      </c>
      <c r="AK62" t="s">
        <v>1269</v>
      </c>
      <c r="AL62" t="s">
        <v>810</v>
      </c>
      <c r="AM62" t="s">
        <v>652</v>
      </c>
      <c r="AN62" t="s">
        <v>582</v>
      </c>
      <c r="AO62" t="s">
        <v>876</v>
      </c>
      <c r="AP62" t="s">
        <v>1309</v>
      </c>
      <c r="AQ62" t="s">
        <v>637</v>
      </c>
      <c r="AR62" t="s">
        <v>729</v>
      </c>
      <c r="AS62" t="s">
        <v>1310</v>
      </c>
      <c r="AT62" t="s">
        <v>1179</v>
      </c>
      <c r="AU62" t="s">
        <v>652</v>
      </c>
      <c r="AV62" t="s">
        <v>582</v>
      </c>
      <c r="AW62" t="s">
        <v>1311</v>
      </c>
      <c r="AX62" t="s">
        <v>1312</v>
      </c>
      <c r="AY62" t="s">
        <v>186</v>
      </c>
      <c r="AZ62" t="s">
        <v>601</v>
      </c>
      <c r="BA62" t="s">
        <v>1313</v>
      </c>
      <c r="BB62" t="s">
        <v>1314</v>
      </c>
      <c r="BC62" t="s">
        <v>522</v>
      </c>
      <c r="BD62">
        <v>1995</v>
      </c>
      <c r="BE62">
        <v>1986</v>
      </c>
      <c r="BF62">
        <v>2270</v>
      </c>
      <c r="BG62">
        <v>1999</v>
      </c>
      <c r="BH62">
        <v>1900</v>
      </c>
      <c r="BI62" t="s">
        <v>349</v>
      </c>
      <c r="BJ62" t="s">
        <v>350</v>
      </c>
      <c r="BK62" t="s">
        <v>721</v>
      </c>
      <c r="BL62" t="s">
        <v>519</v>
      </c>
      <c r="BM62" t="s">
        <v>629</v>
      </c>
      <c r="BN62" t="s">
        <v>529</v>
      </c>
      <c r="BO62" t="s">
        <v>186</v>
      </c>
      <c r="BP62" t="s">
        <v>173</v>
      </c>
      <c r="BQ62" t="s">
        <v>630</v>
      </c>
      <c r="BR62" t="s">
        <v>480</v>
      </c>
      <c r="BS62" t="s">
        <v>628</v>
      </c>
      <c r="BT62" t="s">
        <v>883</v>
      </c>
      <c r="BU62" t="s">
        <v>1038</v>
      </c>
      <c r="BV62" t="s">
        <v>1315</v>
      </c>
      <c r="BW62" t="s">
        <v>854</v>
      </c>
      <c r="BX62" t="s">
        <v>857</v>
      </c>
      <c r="DI62" t="s">
        <v>177</v>
      </c>
      <c r="DJ62" t="s">
        <v>557</v>
      </c>
      <c r="DK62" t="s">
        <v>174</v>
      </c>
      <c r="DL62" t="s">
        <v>281</v>
      </c>
      <c r="DM62" t="s">
        <v>495</v>
      </c>
      <c r="DN62" t="s">
        <v>686</v>
      </c>
      <c r="DO62" t="s">
        <v>205</v>
      </c>
      <c r="DP62" t="s">
        <v>522</v>
      </c>
      <c r="DQ62" t="s">
        <v>512</v>
      </c>
      <c r="DR62" t="s">
        <v>174</v>
      </c>
      <c r="DS62" t="s">
        <v>643</v>
      </c>
      <c r="DT62" t="s">
        <v>1316</v>
      </c>
      <c r="DU62" t="s">
        <v>281</v>
      </c>
      <c r="DV62" t="s">
        <v>564</v>
      </c>
      <c r="DW62" t="s">
        <v>1317</v>
      </c>
      <c r="DX62" t="s">
        <v>207</v>
      </c>
      <c r="DY62" t="s">
        <v>606</v>
      </c>
      <c r="DZ62" t="s">
        <v>1318</v>
      </c>
      <c r="EA62" t="s">
        <v>201</v>
      </c>
      <c r="EB62" t="s">
        <v>562</v>
      </c>
      <c r="EC62" t="s">
        <v>1319</v>
      </c>
      <c r="ED62" t="s">
        <v>201</v>
      </c>
      <c r="EE62" t="s">
        <v>562</v>
      </c>
      <c r="EF62" t="s">
        <v>1320</v>
      </c>
      <c r="EG62" t="s">
        <v>281</v>
      </c>
      <c r="EH62" t="s">
        <v>560</v>
      </c>
      <c r="EI62" t="s">
        <v>1321</v>
      </c>
      <c r="EJ62" t="s">
        <v>205</v>
      </c>
      <c r="EK62" t="s">
        <v>643</v>
      </c>
      <c r="EL62" t="s">
        <v>1322</v>
      </c>
      <c r="EM62" t="s">
        <v>174</v>
      </c>
      <c r="EN62" t="s">
        <v>564</v>
      </c>
      <c r="EO62" t="s">
        <v>739</v>
      </c>
      <c r="EP62" t="s">
        <v>174</v>
      </c>
      <c r="EQ62" t="s">
        <v>564</v>
      </c>
      <c r="ER62" t="s">
        <v>1115</v>
      </c>
      <c r="ES62" t="s">
        <v>301</v>
      </c>
      <c r="ET62" t="s">
        <v>306</v>
      </c>
      <c r="EU62" t="s">
        <v>1323</v>
      </c>
      <c r="EV62" t="s">
        <v>1244</v>
      </c>
      <c r="EW62" t="s">
        <v>617</v>
      </c>
      <c r="EX62" t="s">
        <v>865</v>
      </c>
      <c r="EY62">
        <v>90</v>
      </c>
      <c r="EZ62">
        <v>120</v>
      </c>
      <c r="FA62" t="s">
        <v>1316</v>
      </c>
      <c r="FB62" t="s">
        <v>388</v>
      </c>
      <c r="FC62" t="s">
        <v>574</v>
      </c>
      <c r="FD62" t="s">
        <v>613</v>
      </c>
      <c r="FE62">
        <v>100</v>
      </c>
      <c r="FF62">
        <v>110</v>
      </c>
      <c r="FG62" t="s">
        <v>610</v>
      </c>
      <c r="FH62" t="s">
        <v>1324</v>
      </c>
    </row>
    <row r="63" spans="1:164" x14ac:dyDescent="0.25">
      <c r="A63">
        <v>4</v>
      </c>
      <c r="B63" t="s">
        <v>164</v>
      </c>
      <c r="C63">
        <v>46</v>
      </c>
      <c r="D63">
        <v>4601</v>
      </c>
      <c r="E63">
        <v>973159232</v>
      </c>
      <c r="F63" t="s">
        <v>165</v>
      </c>
      <c r="G63" t="s">
        <v>166</v>
      </c>
      <c r="H63" t="s">
        <v>167</v>
      </c>
      <c r="I63" t="s">
        <v>1325</v>
      </c>
      <c r="J63" t="s">
        <v>1545</v>
      </c>
      <c r="K63" t="s">
        <v>1328</v>
      </c>
      <c r="L63" t="s">
        <v>604</v>
      </c>
      <c r="M63" t="s">
        <v>731</v>
      </c>
      <c r="N63" t="s">
        <v>604</v>
      </c>
      <c r="O63" t="s">
        <v>731</v>
      </c>
      <c r="P63" t="s">
        <v>1326</v>
      </c>
      <c r="Q63" t="s">
        <v>529</v>
      </c>
      <c r="R63" t="s">
        <v>556</v>
      </c>
      <c r="T63" t="s">
        <v>1327</v>
      </c>
      <c r="U63" t="s">
        <v>476</v>
      </c>
      <c r="V63" t="s">
        <v>556</v>
      </c>
      <c r="X63" t="s">
        <v>1143</v>
      </c>
      <c r="Y63" t="s">
        <v>473</v>
      </c>
      <c r="Z63" t="s">
        <v>556</v>
      </c>
      <c r="AB63" t="s">
        <v>1069</v>
      </c>
      <c r="AC63" t="s">
        <v>473</v>
      </c>
      <c r="AD63" t="s">
        <v>556</v>
      </c>
      <c r="AF63" t="s">
        <v>1323</v>
      </c>
      <c r="AG63" t="s">
        <v>473</v>
      </c>
      <c r="AH63" t="s">
        <v>556</v>
      </c>
      <c r="AJ63" t="s">
        <v>179</v>
      </c>
      <c r="AK63" t="s">
        <v>517</v>
      </c>
      <c r="AL63" t="s">
        <v>617</v>
      </c>
      <c r="AM63" t="s">
        <v>797</v>
      </c>
      <c r="AN63" t="s">
        <v>171</v>
      </c>
      <c r="AO63" t="s">
        <v>511</v>
      </c>
      <c r="AP63" t="s">
        <v>741</v>
      </c>
      <c r="AQ63" t="s">
        <v>623</v>
      </c>
      <c r="AR63" t="s">
        <v>191</v>
      </c>
      <c r="AS63" t="s">
        <v>1039</v>
      </c>
      <c r="AT63" t="s">
        <v>904</v>
      </c>
      <c r="AU63" t="s">
        <v>190</v>
      </c>
      <c r="AV63" t="s">
        <v>593</v>
      </c>
      <c r="AW63" t="s">
        <v>1150</v>
      </c>
      <c r="AX63" t="s">
        <v>714</v>
      </c>
      <c r="AY63" t="s">
        <v>566</v>
      </c>
      <c r="AZ63" t="s">
        <v>489</v>
      </c>
      <c r="BA63" t="s">
        <v>904</v>
      </c>
      <c r="BB63" t="s">
        <v>518</v>
      </c>
      <c r="BC63" t="s">
        <v>557</v>
      </c>
      <c r="BD63">
        <v>1996</v>
      </c>
      <c r="BE63">
        <v>1618</v>
      </c>
      <c r="BF63">
        <v>1897</v>
      </c>
      <c r="BG63">
        <v>2399</v>
      </c>
      <c r="BH63">
        <v>1540</v>
      </c>
      <c r="BY63" t="s">
        <v>203</v>
      </c>
      <c r="BZ63" t="s">
        <v>629</v>
      </c>
      <c r="CA63" t="s">
        <v>529</v>
      </c>
      <c r="CB63" t="s">
        <v>524</v>
      </c>
      <c r="CC63" t="s">
        <v>630</v>
      </c>
      <c r="CD63" t="s">
        <v>529</v>
      </c>
      <c r="CE63" t="s">
        <v>588</v>
      </c>
      <c r="CF63" t="s">
        <v>522</v>
      </c>
      <c r="CG63" t="s">
        <v>474</v>
      </c>
      <c r="CH63" t="s">
        <v>215</v>
      </c>
      <c r="CI63" t="s">
        <v>623</v>
      </c>
      <c r="CJ63" t="s">
        <v>501</v>
      </c>
      <c r="CK63" t="s">
        <v>210</v>
      </c>
      <c r="CL63" t="s">
        <v>929</v>
      </c>
      <c r="CM63" t="s">
        <v>476</v>
      </c>
      <c r="CN63" t="s">
        <v>174</v>
      </c>
      <c r="CO63" t="s">
        <v>649</v>
      </c>
      <c r="CP63" t="s">
        <v>476</v>
      </c>
      <c r="CQ63" t="s">
        <v>203</v>
      </c>
      <c r="CR63" t="s">
        <v>211</v>
      </c>
      <c r="CS63" t="s">
        <v>170</v>
      </c>
      <c r="CT63" t="s">
        <v>177</v>
      </c>
      <c r="CU63" t="s">
        <v>486</v>
      </c>
      <c r="CV63" t="s">
        <v>170</v>
      </c>
      <c r="CW63" t="s">
        <v>523</v>
      </c>
      <c r="CX63" t="s">
        <v>202</v>
      </c>
      <c r="CY63" t="s">
        <v>170</v>
      </c>
      <c r="CZ63" t="s">
        <v>217</v>
      </c>
      <c r="DA63" t="s">
        <v>633</v>
      </c>
      <c r="DB63" t="s">
        <v>501</v>
      </c>
      <c r="DC63" t="s">
        <v>216</v>
      </c>
      <c r="DD63" t="s">
        <v>598</v>
      </c>
      <c r="DE63" t="s">
        <v>501</v>
      </c>
      <c r="DF63" t="s">
        <v>212</v>
      </c>
      <c r="DG63" t="s">
        <v>623</v>
      </c>
      <c r="DH63" t="s">
        <v>501</v>
      </c>
      <c r="DI63" t="s">
        <v>217</v>
      </c>
      <c r="DJ63" t="s">
        <v>721</v>
      </c>
      <c r="DK63" t="s">
        <v>473</v>
      </c>
      <c r="DL63" t="s">
        <v>216</v>
      </c>
      <c r="DM63" t="s">
        <v>522</v>
      </c>
      <c r="DN63" t="s">
        <v>529</v>
      </c>
      <c r="DO63" t="s">
        <v>209</v>
      </c>
      <c r="DP63" t="s">
        <v>486</v>
      </c>
      <c r="DQ63" t="s">
        <v>473</v>
      </c>
      <c r="DR63" t="s">
        <v>210</v>
      </c>
      <c r="DS63" t="s">
        <v>929</v>
      </c>
      <c r="DT63" t="s">
        <v>504</v>
      </c>
      <c r="DU63" t="s">
        <v>217</v>
      </c>
      <c r="DV63" t="s">
        <v>800</v>
      </c>
      <c r="DW63" t="s">
        <v>480</v>
      </c>
      <c r="DX63" t="s">
        <v>215</v>
      </c>
      <c r="DY63" t="s">
        <v>266</v>
      </c>
      <c r="DZ63" t="s">
        <v>501</v>
      </c>
      <c r="EA63" t="s">
        <v>177</v>
      </c>
      <c r="EB63" t="s">
        <v>630</v>
      </c>
      <c r="EC63" t="s">
        <v>173</v>
      </c>
      <c r="ED63" t="s">
        <v>207</v>
      </c>
      <c r="EE63" t="s">
        <v>598</v>
      </c>
      <c r="EF63" t="s">
        <v>529</v>
      </c>
      <c r="EG63" t="s">
        <v>210</v>
      </c>
      <c r="EH63" t="s">
        <v>263</v>
      </c>
      <c r="EI63" t="s">
        <v>173</v>
      </c>
      <c r="EJ63" t="s">
        <v>281</v>
      </c>
      <c r="EK63" t="s">
        <v>550</v>
      </c>
      <c r="EL63" t="s">
        <v>512</v>
      </c>
      <c r="EM63" t="s">
        <v>205</v>
      </c>
      <c r="EN63" t="s">
        <v>721</v>
      </c>
      <c r="EO63" t="s">
        <v>512</v>
      </c>
      <c r="EP63" t="s">
        <v>177</v>
      </c>
      <c r="EQ63" t="s">
        <v>208</v>
      </c>
      <c r="ER63" t="s">
        <v>512</v>
      </c>
      <c r="EV63" t="s">
        <v>604</v>
      </c>
      <c r="EW63" t="s">
        <v>604</v>
      </c>
      <c r="EX63" t="s">
        <v>604</v>
      </c>
      <c r="FH63" t="s">
        <v>1328</v>
      </c>
    </row>
    <row r="64" spans="1:164" x14ac:dyDescent="0.25">
      <c r="A64">
        <v>4</v>
      </c>
      <c r="B64" t="s">
        <v>164</v>
      </c>
      <c r="C64">
        <v>46</v>
      </c>
      <c r="D64">
        <v>4601</v>
      </c>
      <c r="E64">
        <v>974738244</v>
      </c>
      <c r="F64" t="s">
        <v>165</v>
      </c>
      <c r="G64" t="s">
        <v>166</v>
      </c>
      <c r="H64" t="s">
        <v>167</v>
      </c>
      <c r="I64" t="s">
        <v>1329</v>
      </c>
      <c r="J64" t="s">
        <v>1546</v>
      </c>
      <c r="K64" t="s">
        <v>1335</v>
      </c>
      <c r="L64" t="s">
        <v>950</v>
      </c>
      <c r="M64" t="s">
        <v>306</v>
      </c>
      <c r="N64" t="s">
        <v>731</v>
      </c>
      <c r="O64" t="s">
        <v>618</v>
      </c>
      <c r="P64" t="s">
        <v>919</v>
      </c>
      <c r="Q64" t="s">
        <v>529</v>
      </c>
      <c r="R64" t="s">
        <v>173</v>
      </c>
      <c r="T64" t="s">
        <v>1330</v>
      </c>
      <c r="U64" t="s">
        <v>170</v>
      </c>
      <c r="V64" t="s">
        <v>476</v>
      </c>
      <c r="X64" t="s">
        <v>472</v>
      </c>
      <c r="Y64" t="s">
        <v>474</v>
      </c>
      <c r="Z64" t="s">
        <v>529</v>
      </c>
      <c r="AB64" t="s">
        <v>1331</v>
      </c>
      <c r="AC64" t="s">
        <v>501</v>
      </c>
      <c r="AD64" t="s">
        <v>519</v>
      </c>
      <c r="AF64" t="s">
        <v>1332</v>
      </c>
      <c r="AG64" t="s">
        <v>473</v>
      </c>
      <c r="AH64" t="s">
        <v>476</v>
      </c>
      <c r="AJ64" t="s">
        <v>187</v>
      </c>
      <c r="AK64" t="s">
        <v>1333</v>
      </c>
      <c r="AL64" t="s">
        <v>928</v>
      </c>
      <c r="AM64" t="s">
        <v>629</v>
      </c>
      <c r="AN64" t="s">
        <v>176</v>
      </c>
      <c r="AO64" t="s">
        <v>482</v>
      </c>
      <c r="AP64" t="s">
        <v>189</v>
      </c>
      <c r="AQ64" t="s">
        <v>186</v>
      </c>
      <c r="AR64" t="s">
        <v>612</v>
      </c>
      <c r="AS64" t="s">
        <v>484</v>
      </c>
      <c r="AT64" t="s">
        <v>1334</v>
      </c>
      <c r="AU64" t="s">
        <v>629</v>
      </c>
      <c r="AV64" t="s">
        <v>179</v>
      </c>
      <c r="AW64" t="s">
        <v>927</v>
      </c>
      <c r="AX64" t="s">
        <v>796</v>
      </c>
      <c r="AY64" t="s">
        <v>623</v>
      </c>
      <c r="AZ64" t="s">
        <v>179</v>
      </c>
      <c r="BA64" t="s">
        <v>783</v>
      </c>
      <c r="BB64" t="s">
        <v>913</v>
      </c>
      <c r="BC64" t="s">
        <v>190</v>
      </c>
      <c r="BD64">
        <v>1613</v>
      </c>
      <c r="BE64">
        <v>1642</v>
      </c>
      <c r="BF64">
        <v>1669</v>
      </c>
      <c r="BG64">
        <v>1563</v>
      </c>
      <c r="BH64">
        <v>1515</v>
      </c>
      <c r="BY64" t="s">
        <v>281</v>
      </c>
      <c r="BZ64" t="s">
        <v>557</v>
      </c>
      <c r="CA64" t="s">
        <v>174</v>
      </c>
      <c r="CB64" t="s">
        <v>201</v>
      </c>
      <c r="CC64" t="s">
        <v>497</v>
      </c>
      <c r="CD64" t="s">
        <v>281</v>
      </c>
      <c r="CE64" t="s">
        <v>174</v>
      </c>
      <c r="CF64" t="s">
        <v>301</v>
      </c>
      <c r="CG64" t="s">
        <v>174</v>
      </c>
      <c r="CH64" t="s">
        <v>210</v>
      </c>
      <c r="CI64" t="s">
        <v>211</v>
      </c>
      <c r="CJ64" t="s">
        <v>177</v>
      </c>
      <c r="CK64" t="s">
        <v>216</v>
      </c>
      <c r="CL64" t="s">
        <v>213</v>
      </c>
      <c r="CM64" t="s">
        <v>215</v>
      </c>
      <c r="CN64" t="s">
        <v>177</v>
      </c>
      <c r="CO64" t="s">
        <v>204</v>
      </c>
      <c r="CP64" t="s">
        <v>216</v>
      </c>
      <c r="CQ64" t="s">
        <v>201</v>
      </c>
      <c r="CR64" t="s">
        <v>494</v>
      </c>
      <c r="CS64" t="s">
        <v>281</v>
      </c>
      <c r="CT64" t="s">
        <v>174</v>
      </c>
      <c r="CU64" t="s">
        <v>213</v>
      </c>
      <c r="CV64" t="s">
        <v>281</v>
      </c>
      <c r="CW64" t="s">
        <v>496</v>
      </c>
      <c r="CX64" t="s">
        <v>211</v>
      </c>
      <c r="CY64" t="s">
        <v>281</v>
      </c>
      <c r="CZ64" t="s">
        <v>177</v>
      </c>
      <c r="DA64" t="s">
        <v>211</v>
      </c>
      <c r="DB64" t="s">
        <v>523</v>
      </c>
      <c r="DC64" t="s">
        <v>174</v>
      </c>
      <c r="DD64" t="s">
        <v>204</v>
      </c>
      <c r="DE64" t="s">
        <v>523</v>
      </c>
      <c r="DF64" t="s">
        <v>281</v>
      </c>
      <c r="DG64" t="s">
        <v>213</v>
      </c>
      <c r="DH64" t="s">
        <v>524</v>
      </c>
      <c r="FH64" t="s">
        <v>1335</v>
      </c>
    </row>
    <row r="65" spans="1:164" x14ac:dyDescent="0.25">
      <c r="A65">
        <v>4</v>
      </c>
      <c r="B65" t="s">
        <v>164</v>
      </c>
      <c r="C65">
        <v>46</v>
      </c>
      <c r="D65">
        <v>4601</v>
      </c>
      <c r="E65">
        <v>974737981</v>
      </c>
      <c r="F65" t="s">
        <v>165</v>
      </c>
      <c r="G65" t="s">
        <v>166</v>
      </c>
      <c r="H65" t="s">
        <v>167</v>
      </c>
      <c r="I65" t="s">
        <v>1336</v>
      </c>
      <c r="J65" t="s">
        <v>1547</v>
      </c>
      <c r="K65" t="s">
        <v>1340</v>
      </c>
      <c r="L65" t="s">
        <v>1228</v>
      </c>
      <c r="M65" t="s">
        <v>1536</v>
      </c>
      <c r="N65" t="s">
        <v>731</v>
      </c>
      <c r="O65" t="s">
        <v>797</v>
      </c>
      <c r="P65" t="s">
        <v>792</v>
      </c>
      <c r="Q65" t="s">
        <v>530</v>
      </c>
      <c r="R65" t="s">
        <v>604</v>
      </c>
      <c r="T65" t="s">
        <v>1047</v>
      </c>
      <c r="U65" t="s">
        <v>481</v>
      </c>
      <c r="V65" t="s">
        <v>604</v>
      </c>
      <c r="X65" t="s">
        <v>1047</v>
      </c>
      <c r="Y65" t="s">
        <v>655</v>
      </c>
      <c r="Z65" t="s">
        <v>604</v>
      </c>
      <c r="AB65" t="s">
        <v>1337</v>
      </c>
      <c r="AC65" t="s">
        <v>504</v>
      </c>
      <c r="AD65" t="s">
        <v>655</v>
      </c>
      <c r="AF65" t="s">
        <v>1338</v>
      </c>
      <c r="AG65" t="s">
        <v>580</v>
      </c>
      <c r="AH65" t="s">
        <v>504</v>
      </c>
      <c r="AJ65" t="s">
        <v>529</v>
      </c>
      <c r="AK65" t="s">
        <v>668</v>
      </c>
      <c r="AL65" t="s">
        <v>711</v>
      </c>
      <c r="AM65" t="s">
        <v>560</v>
      </c>
      <c r="AN65" t="s">
        <v>173</v>
      </c>
      <c r="AO65" t="s">
        <v>1167</v>
      </c>
      <c r="AP65" t="s">
        <v>711</v>
      </c>
      <c r="AQ65" t="s">
        <v>301</v>
      </c>
      <c r="AR65" t="s">
        <v>529</v>
      </c>
      <c r="AS65" t="s">
        <v>1339</v>
      </c>
      <c r="AT65" t="s">
        <v>1012</v>
      </c>
      <c r="AU65" t="s">
        <v>214</v>
      </c>
      <c r="AV65" t="s">
        <v>173</v>
      </c>
      <c r="AW65" t="s">
        <v>1339</v>
      </c>
      <c r="AX65" t="s">
        <v>809</v>
      </c>
      <c r="AY65" t="s">
        <v>598</v>
      </c>
      <c r="AZ65" t="s">
        <v>474</v>
      </c>
      <c r="BA65" t="s">
        <v>672</v>
      </c>
      <c r="BB65" t="s">
        <v>899</v>
      </c>
      <c r="BC65" t="s">
        <v>266</v>
      </c>
      <c r="BD65">
        <v>1592</v>
      </c>
      <c r="BE65">
        <v>1486</v>
      </c>
      <c r="BF65">
        <v>1542</v>
      </c>
      <c r="BG65">
        <v>1594</v>
      </c>
      <c r="BH65">
        <v>1621</v>
      </c>
      <c r="BY65" t="s">
        <v>281</v>
      </c>
      <c r="BZ65" t="s">
        <v>202</v>
      </c>
      <c r="CA65" t="s">
        <v>179</v>
      </c>
      <c r="CB65" t="s">
        <v>201</v>
      </c>
      <c r="CC65" t="s">
        <v>206</v>
      </c>
      <c r="CD65" t="s">
        <v>179</v>
      </c>
      <c r="CE65" t="s">
        <v>174</v>
      </c>
      <c r="CF65" t="s">
        <v>211</v>
      </c>
      <c r="CG65" t="s">
        <v>179</v>
      </c>
      <c r="CH65" t="s">
        <v>174</v>
      </c>
      <c r="CI65" t="s">
        <v>198</v>
      </c>
      <c r="CJ65" t="s">
        <v>588</v>
      </c>
      <c r="CK65" t="s">
        <v>216</v>
      </c>
      <c r="CL65" t="s">
        <v>630</v>
      </c>
      <c r="CM65" t="s">
        <v>171</v>
      </c>
      <c r="CN65" t="s">
        <v>177</v>
      </c>
      <c r="CO65" t="s">
        <v>486</v>
      </c>
      <c r="CP65" t="s">
        <v>588</v>
      </c>
      <c r="CQ65" t="s">
        <v>281</v>
      </c>
      <c r="CR65" t="s">
        <v>208</v>
      </c>
      <c r="CS65" t="s">
        <v>593</v>
      </c>
      <c r="CT65" t="s">
        <v>177</v>
      </c>
      <c r="CU65" t="s">
        <v>522</v>
      </c>
      <c r="CV65" t="s">
        <v>191</v>
      </c>
      <c r="CW65" t="s">
        <v>177</v>
      </c>
      <c r="CX65" t="s">
        <v>522</v>
      </c>
      <c r="CY65" t="s">
        <v>191</v>
      </c>
      <c r="CZ65" t="s">
        <v>174</v>
      </c>
      <c r="DA65" t="s">
        <v>557</v>
      </c>
      <c r="DB65" t="s">
        <v>191</v>
      </c>
      <c r="DC65" t="s">
        <v>207</v>
      </c>
      <c r="DD65" t="s">
        <v>598</v>
      </c>
      <c r="DE65" t="s">
        <v>191</v>
      </c>
      <c r="DF65" t="s">
        <v>210</v>
      </c>
      <c r="DG65" t="s">
        <v>629</v>
      </c>
      <c r="DH65" t="s">
        <v>171</v>
      </c>
      <c r="FH65" t="s">
        <v>1340</v>
      </c>
    </row>
    <row r="66" spans="1:164" x14ac:dyDescent="0.25">
      <c r="A66">
        <v>4</v>
      </c>
      <c r="B66" t="s">
        <v>164</v>
      </c>
      <c r="C66">
        <v>46</v>
      </c>
      <c r="D66">
        <v>4601</v>
      </c>
      <c r="E66">
        <v>974738058</v>
      </c>
      <c r="F66" t="s">
        <v>165</v>
      </c>
      <c r="G66" t="s">
        <v>166</v>
      </c>
      <c r="H66" t="s">
        <v>167</v>
      </c>
      <c r="I66" t="s">
        <v>1341</v>
      </c>
      <c r="J66" t="s">
        <v>1548</v>
      </c>
      <c r="K66" t="s">
        <v>1348</v>
      </c>
      <c r="P66" t="s">
        <v>686</v>
      </c>
      <c r="Q66" t="s">
        <v>530</v>
      </c>
      <c r="R66" t="s">
        <v>508</v>
      </c>
      <c r="T66" t="s">
        <v>568</v>
      </c>
      <c r="U66" t="s">
        <v>502</v>
      </c>
      <c r="V66" t="s">
        <v>604</v>
      </c>
      <c r="X66" t="s">
        <v>967</v>
      </c>
      <c r="Y66" t="s">
        <v>530</v>
      </c>
      <c r="Z66" t="s">
        <v>508</v>
      </c>
      <c r="AB66" t="s">
        <v>639</v>
      </c>
      <c r="AC66" t="s">
        <v>481</v>
      </c>
      <c r="AD66" t="s">
        <v>655</v>
      </c>
      <c r="AF66" t="s">
        <v>685</v>
      </c>
      <c r="AG66" t="s">
        <v>655</v>
      </c>
      <c r="AH66" t="s">
        <v>604</v>
      </c>
      <c r="AJ66" t="s">
        <v>502</v>
      </c>
      <c r="AK66" t="s">
        <v>1342</v>
      </c>
      <c r="AL66" t="s">
        <v>1343</v>
      </c>
      <c r="AM66" t="s">
        <v>562</v>
      </c>
      <c r="AN66" t="s">
        <v>502</v>
      </c>
      <c r="AO66" t="s">
        <v>1091</v>
      </c>
      <c r="AP66" t="s">
        <v>1343</v>
      </c>
      <c r="AQ66" t="s">
        <v>642</v>
      </c>
      <c r="AR66" t="s">
        <v>502</v>
      </c>
      <c r="AS66" t="s">
        <v>1344</v>
      </c>
      <c r="AT66" t="s">
        <v>1345</v>
      </c>
      <c r="AU66" t="s">
        <v>712</v>
      </c>
      <c r="AV66" t="s">
        <v>502</v>
      </c>
      <c r="AW66" t="s">
        <v>607</v>
      </c>
      <c r="AX66" t="s">
        <v>1345</v>
      </c>
      <c r="AY66" t="s">
        <v>712</v>
      </c>
      <c r="AZ66" t="s">
        <v>502</v>
      </c>
      <c r="BA66" t="s">
        <v>1346</v>
      </c>
      <c r="BB66" t="s">
        <v>1228</v>
      </c>
      <c r="BC66" t="s">
        <v>558</v>
      </c>
      <c r="BD66">
        <v>1139</v>
      </c>
      <c r="BE66">
        <v>1359</v>
      </c>
      <c r="BF66">
        <v>1412</v>
      </c>
      <c r="BG66">
        <v>1335</v>
      </c>
      <c r="BH66">
        <v>1384</v>
      </c>
      <c r="BY66" t="s">
        <v>281</v>
      </c>
      <c r="BZ66" t="s">
        <v>797</v>
      </c>
      <c r="CA66" t="s">
        <v>581</v>
      </c>
      <c r="CB66" t="s">
        <v>216</v>
      </c>
      <c r="CC66" t="s">
        <v>266</v>
      </c>
      <c r="CD66" t="s">
        <v>581</v>
      </c>
      <c r="CG66" t="s">
        <v>556</v>
      </c>
      <c r="CH66" t="s">
        <v>604</v>
      </c>
      <c r="CI66" t="s">
        <v>604</v>
      </c>
      <c r="CJ66" t="s">
        <v>604</v>
      </c>
      <c r="CK66" t="s">
        <v>604</v>
      </c>
      <c r="CL66" t="s">
        <v>604</v>
      </c>
      <c r="CM66" t="s">
        <v>604</v>
      </c>
      <c r="CN66" t="s">
        <v>604</v>
      </c>
      <c r="CO66" t="s">
        <v>604</v>
      </c>
      <c r="CP66" t="s">
        <v>604</v>
      </c>
      <c r="CQ66" t="s">
        <v>207</v>
      </c>
      <c r="CR66" t="s">
        <v>825</v>
      </c>
      <c r="CS66" t="s">
        <v>505</v>
      </c>
      <c r="CT66" t="s">
        <v>604</v>
      </c>
      <c r="CU66" t="s">
        <v>604</v>
      </c>
      <c r="CV66" t="s">
        <v>604</v>
      </c>
      <c r="CW66" t="s">
        <v>174</v>
      </c>
      <c r="CX66" t="s">
        <v>1347</v>
      </c>
      <c r="CY66" t="s">
        <v>505</v>
      </c>
      <c r="CZ66" t="s">
        <v>604</v>
      </c>
      <c r="DA66" t="s">
        <v>604</v>
      </c>
      <c r="DB66" t="s">
        <v>604</v>
      </c>
      <c r="DC66" t="s">
        <v>604</v>
      </c>
      <c r="DD66" t="s">
        <v>604</v>
      </c>
      <c r="DE66" t="s">
        <v>604</v>
      </c>
      <c r="DF66" t="s">
        <v>604</v>
      </c>
      <c r="DG66" t="s">
        <v>604</v>
      </c>
      <c r="DH66" t="s">
        <v>604</v>
      </c>
      <c r="FH66" t="s">
        <v>1348</v>
      </c>
    </row>
    <row r="67" spans="1:164" x14ac:dyDescent="0.25">
      <c r="A67">
        <v>4</v>
      </c>
      <c r="B67" t="s">
        <v>164</v>
      </c>
      <c r="C67">
        <v>46</v>
      </c>
      <c r="D67">
        <v>4601</v>
      </c>
      <c r="E67">
        <v>974737833</v>
      </c>
      <c r="F67" t="s">
        <v>165</v>
      </c>
      <c r="G67" t="s">
        <v>166</v>
      </c>
      <c r="H67" t="s">
        <v>167</v>
      </c>
      <c r="I67" t="s">
        <v>1349</v>
      </c>
      <c r="J67" t="s">
        <v>1549</v>
      </c>
      <c r="K67" t="s">
        <v>1359</v>
      </c>
      <c r="P67" t="s">
        <v>1054</v>
      </c>
      <c r="Q67" t="s">
        <v>1027</v>
      </c>
      <c r="R67" t="s">
        <v>604</v>
      </c>
      <c r="T67" t="s">
        <v>587</v>
      </c>
      <c r="U67" t="s">
        <v>734</v>
      </c>
      <c r="V67" t="s">
        <v>604</v>
      </c>
      <c r="X67" t="s">
        <v>780</v>
      </c>
      <c r="Y67" t="s">
        <v>582</v>
      </c>
      <c r="Z67" t="s">
        <v>556</v>
      </c>
      <c r="AB67" t="s">
        <v>697</v>
      </c>
      <c r="AC67" t="s">
        <v>726</v>
      </c>
      <c r="AD67" t="s">
        <v>604</v>
      </c>
      <c r="AF67" t="s">
        <v>1350</v>
      </c>
      <c r="AG67" t="s">
        <v>584</v>
      </c>
      <c r="AH67" t="s">
        <v>604</v>
      </c>
      <c r="AJ67" t="s">
        <v>183</v>
      </c>
      <c r="AK67" t="s">
        <v>1351</v>
      </c>
      <c r="AL67" t="s">
        <v>540</v>
      </c>
      <c r="AM67" t="s">
        <v>1352</v>
      </c>
      <c r="AN67" t="s">
        <v>281</v>
      </c>
      <c r="AO67" t="s">
        <v>1184</v>
      </c>
      <c r="AP67" t="s">
        <v>543</v>
      </c>
      <c r="AQ67" t="s">
        <v>1346</v>
      </c>
      <c r="AR67" t="s">
        <v>201</v>
      </c>
      <c r="AS67" t="s">
        <v>1353</v>
      </c>
      <c r="AT67" t="s">
        <v>810</v>
      </c>
      <c r="AU67" t="s">
        <v>1346</v>
      </c>
      <c r="AV67" t="s">
        <v>201</v>
      </c>
      <c r="AW67" t="s">
        <v>1354</v>
      </c>
      <c r="AX67" t="s">
        <v>875</v>
      </c>
      <c r="AY67" t="s">
        <v>984</v>
      </c>
      <c r="AZ67" t="s">
        <v>281</v>
      </c>
      <c r="BA67" t="s">
        <v>1355</v>
      </c>
      <c r="BB67" t="s">
        <v>1036</v>
      </c>
      <c r="BC67" t="s">
        <v>807</v>
      </c>
      <c r="BD67">
        <v>1989</v>
      </c>
      <c r="BE67">
        <v>1903</v>
      </c>
      <c r="BF67">
        <v>1790</v>
      </c>
      <c r="BG67">
        <v>1914</v>
      </c>
      <c r="BH67">
        <v>1778</v>
      </c>
      <c r="BI67" t="s">
        <v>349</v>
      </c>
      <c r="BJ67" t="s">
        <v>350</v>
      </c>
      <c r="BK67" t="s">
        <v>550</v>
      </c>
      <c r="BL67" t="s">
        <v>533</v>
      </c>
      <c r="BM67" t="s">
        <v>351</v>
      </c>
      <c r="BN67" t="s">
        <v>512</v>
      </c>
      <c r="BO67" t="s">
        <v>550</v>
      </c>
      <c r="BP67" t="s">
        <v>588</v>
      </c>
      <c r="BQ67" t="s">
        <v>266</v>
      </c>
      <c r="BR67" t="s">
        <v>176</v>
      </c>
      <c r="BS67" t="s">
        <v>880</v>
      </c>
      <c r="BT67" t="s">
        <v>1356</v>
      </c>
      <c r="BU67" t="s">
        <v>1137</v>
      </c>
      <c r="BV67" t="s">
        <v>975</v>
      </c>
      <c r="BW67" t="s">
        <v>1357</v>
      </c>
      <c r="BX67" t="s">
        <v>1186</v>
      </c>
      <c r="DI67" t="s">
        <v>210</v>
      </c>
      <c r="DJ67" t="s">
        <v>644</v>
      </c>
      <c r="DK67" t="s">
        <v>685</v>
      </c>
      <c r="DL67" t="s">
        <v>216</v>
      </c>
      <c r="DM67" t="s">
        <v>558</v>
      </c>
      <c r="DN67" t="s">
        <v>819</v>
      </c>
      <c r="DO67" t="s">
        <v>216</v>
      </c>
      <c r="DP67" t="s">
        <v>558</v>
      </c>
      <c r="DQ67" t="s">
        <v>951</v>
      </c>
      <c r="DR67" t="s">
        <v>207</v>
      </c>
      <c r="DS67" t="s">
        <v>560</v>
      </c>
      <c r="DT67" t="s">
        <v>569</v>
      </c>
      <c r="DU67" t="s">
        <v>210</v>
      </c>
      <c r="DV67" t="s">
        <v>560</v>
      </c>
      <c r="DW67" t="s">
        <v>567</v>
      </c>
      <c r="DX67" t="s">
        <v>216</v>
      </c>
      <c r="DY67" t="s">
        <v>566</v>
      </c>
      <c r="DZ67" t="s">
        <v>569</v>
      </c>
      <c r="EA67" t="s">
        <v>207</v>
      </c>
      <c r="EB67" t="s">
        <v>560</v>
      </c>
      <c r="EC67" t="s">
        <v>1186</v>
      </c>
      <c r="ED67" t="s">
        <v>210</v>
      </c>
      <c r="EE67" t="s">
        <v>560</v>
      </c>
      <c r="EF67" t="s">
        <v>1287</v>
      </c>
      <c r="EG67" t="s">
        <v>216</v>
      </c>
      <c r="EH67" t="s">
        <v>562</v>
      </c>
      <c r="EI67" t="s">
        <v>1287</v>
      </c>
      <c r="EJ67" t="s">
        <v>174</v>
      </c>
      <c r="EK67" t="s">
        <v>560</v>
      </c>
      <c r="EL67" t="s">
        <v>1358</v>
      </c>
      <c r="EM67" t="s">
        <v>210</v>
      </c>
      <c r="EN67" t="s">
        <v>560</v>
      </c>
      <c r="EO67" t="s">
        <v>1358</v>
      </c>
      <c r="EP67" t="s">
        <v>177</v>
      </c>
      <c r="EQ67" t="s">
        <v>560</v>
      </c>
      <c r="ER67" t="s">
        <v>1358</v>
      </c>
      <c r="ES67" t="s">
        <v>301</v>
      </c>
      <c r="ET67" t="s">
        <v>301</v>
      </c>
      <c r="EU67" t="s">
        <v>559</v>
      </c>
      <c r="EV67" t="s">
        <v>305</v>
      </c>
      <c r="EW67" t="s">
        <v>301</v>
      </c>
      <c r="EX67" t="s">
        <v>548</v>
      </c>
      <c r="EY67">
        <v>95</v>
      </c>
      <c r="EZ67">
        <v>40</v>
      </c>
      <c r="FA67" t="s">
        <v>559</v>
      </c>
      <c r="FB67" t="s">
        <v>605</v>
      </c>
      <c r="FC67" t="s">
        <v>306</v>
      </c>
      <c r="FD67" t="s">
        <v>1003</v>
      </c>
      <c r="FE67">
        <v>100</v>
      </c>
      <c r="FF67">
        <v>50</v>
      </c>
      <c r="FG67" t="s">
        <v>1005</v>
      </c>
      <c r="FH67" t="s">
        <v>1359</v>
      </c>
    </row>
    <row r="68" spans="1:164" x14ac:dyDescent="0.25">
      <c r="A68">
        <v>4</v>
      </c>
      <c r="B68" t="s">
        <v>164</v>
      </c>
      <c r="C68">
        <v>46</v>
      </c>
      <c r="D68">
        <v>4601</v>
      </c>
      <c r="E68">
        <v>974737841</v>
      </c>
      <c r="F68" t="s">
        <v>165</v>
      </c>
      <c r="G68" t="s">
        <v>166</v>
      </c>
      <c r="H68" t="s">
        <v>167</v>
      </c>
      <c r="I68" t="s">
        <v>1360</v>
      </c>
      <c r="J68" t="s">
        <v>1550</v>
      </c>
      <c r="K68" t="s">
        <v>1363</v>
      </c>
      <c r="L68" t="s">
        <v>604</v>
      </c>
      <c r="M68" t="s">
        <v>604</v>
      </c>
      <c r="N68" t="s">
        <v>604</v>
      </c>
      <c r="O68" t="s">
        <v>604</v>
      </c>
      <c r="P68" t="s">
        <v>1361</v>
      </c>
      <c r="Q68" t="s">
        <v>655</v>
      </c>
      <c r="R68" t="s">
        <v>187</v>
      </c>
      <c r="T68" t="s">
        <v>1143</v>
      </c>
      <c r="U68" t="s">
        <v>608</v>
      </c>
      <c r="V68" t="s">
        <v>171</v>
      </c>
      <c r="X68" t="s">
        <v>1316</v>
      </c>
      <c r="Y68" t="s">
        <v>505</v>
      </c>
      <c r="Z68" t="s">
        <v>195</v>
      </c>
      <c r="AB68" t="s">
        <v>1318</v>
      </c>
      <c r="AC68" t="s">
        <v>580</v>
      </c>
      <c r="AD68" t="s">
        <v>281</v>
      </c>
      <c r="AF68" t="s">
        <v>886</v>
      </c>
      <c r="AG68" t="s">
        <v>530</v>
      </c>
      <c r="AH68" t="s">
        <v>176</v>
      </c>
      <c r="AJ68" t="s">
        <v>473</v>
      </c>
      <c r="AK68" t="s">
        <v>1072</v>
      </c>
      <c r="AL68" t="s">
        <v>1362</v>
      </c>
      <c r="AM68" t="s">
        <v>557</v>
      </c>
      <c r="AN68" t="s">
        <v>170</v>
      </c>
      <c r="AO68" t="s">
        <v>775</v>
      </c>
      <c r="AP68" t="s">
        <v>776</v>
      </c>
      <c r="AQ68" t="s">
        <v>202</v>
      </c>
      <c r="AR68" t="s">
        <v>473</v>
      </c>
      <c r="AS68" t="s">
        <v>619</v>
      </c>
      <c r="AT68" t="s">
        <v>936</v>
      </c>
      <c r="AU68" t="s">
        <v>630</v>
      </c>
      <c r="AV68" t="s">
        <v>173</v>
      </c>
      <c r="AW68" t="s">
        <v>617</v>
      </c>
      <c r="AX68" t="s">
        <v>619</v>
      </c>
      <c r="AY68" t="s">
        <v>644</v>
      </c>
      <c r="AZ68" t="s">
        <v>173</v>
      </c>
      <c r="BA68" t="s">
        <v>807</v>
      </c>
      <c r="BB68" t="s">
        <v>634</v>
      </c>
      <c r="BC68" t="s">
        <v>566</v>
      </c>
      <c r="BD68">
        <v>1416</v>
      </c>
      <c r="BE68">
        <v>1658</v>
      </c>
      <c r="BF68">
        <v>1400</v>
      </c>
      <c r="BG68">
        <v>1338</v>
      </c>
      <c r="BH68">
        <v>1365</v>
      </c>
      <c r="BY68" t="s">
        <v>205</v>
      </c>
      <c r="BZ68" t="s">
        <v>649</v>
      </c>
      <c r="CA68" t="s">
        <v>473</v>
      </c>
      <c r="CB68" t="s">
        <v>216</v>
      </c>
      <c r="CC68" t="s">
        <v>633</v>
      </c>
      <c r="CD68" t="s">
        <v>473</v>
      </c>
      <c r="CE68" t="s">
        <v>201</v>
      </c>
      <c r="CF68" t="s">
        <v>1064</v>
      </c>
      <c r="CG68" t="s">
        <v>473</v>
      </c>
      <c r="CH68" t="s">
        <v>205</v>
      </c>
      <c r="CI68" t="s">
        <v>598</v>
      </c>
      <c r="CJ68" t="s">
        <v>182</v>
      </c>
      <c r="CK68" t="s">
        <v>201</v>
      </c>
      <c r="CL68" t="s">
        <v>629</v>
      </c>
      <c r="CM68" t="s">
        <v>612</v>
      </c>
      <c r="CN68" t="s">
        <v>600</v>
      </c>
      <c r="CO68" t="s">
        <v>557</v>
      </c>
      <c r="CP68" t="s">
        <v>612</v>
      </c>
      <c r="CQ68" t="s">
        <v>183</v>
      </c>
      <c r="CR68" t="s">
        <v>202</v>
      </c>
      <c r="CS68" t="s">
        <v>512</v>
      </c>
      <c r="CT68" t="s">
        <v>496</v>
      </c>
      <c r="CU68" t="s">
        <v>522</v>
      </c>
      <c r="CV68" t="s">
        <v>512</v>
      </c>
      <c r="CW68" t="s">
        <v>183</v>
      </c>
      <c r="CX68" t="s">
        <v>598</v>
      </c>
      <c r="CY68" t="s">
        <v>512</v>
      </c>
      <c r="CZ68" t="s">
        <v>216</v>
      </c>
      <c r="DA68" t="s">
        <v>351</v>
      </c>
      <c r="DB68" t="s">
        <v>512</v>
      </c>
      <c r="DC68" t="s">
        <v>216</v>
      </c>
      <c r="DD68" t="s">
        <v>630</v>
      </c>
      <c r="DE68" t="s">
        <v>533</v>
      </c>
      <c r="DF68" t="s">
        <v>210</v>
      </c>
      <c r="DG68" t="s">
        <v>208</v>
      </c>
      <c r="DH68" t="s">
        <v>533</v>
      </c>
      <c r="FH68" t="s">
        <v>1363</v>
      </c>
    </row>
    <row r="69" spans="1:164" x14ac:dyDescent="0.25">
      <c r="A69">
        <v>4</v>
      </c>
      <c r="B69" t="s">
        <v>164</v>
      </c>
      <c r="C69">
        <v>46</v>
      </c>
      <c r="D69">
        <v>4601</v>
      </c>
      <c r="E69">
        <v>974738171</v>
      </c>
      <c r="F69" t="s">
        <v>165</v>
      </c>
      <c r="G69" t="s">
        <v>166</v>
      </c>
      <c r="H69" t="s">
        <v>167</v>
      </c>
      <c r="I69" t="s">
        <v>1364</v>
      </c>
      <c r="J69" t="s">
        <v>1551</v>
      </c>
      <c r="K69" t="s">
        <v>1368</v>
      </c>
      <c r="L69" t="s">
        <v>1049</v>
      </c>
      <c r="M69" t="s">
        <v>807</v>
      </c>
      <c r="N69" t="s">
        <v>263</v>
      </c>
      <c r="O69" t="s">
        <v>743</v>
      </c>
      <c r="P69" t="s">
        <v>1365</v>
      </c>
      <c r="Q69" t="s">
        <v>530</v>
      </c>
      <c r="R69" t="s">
        <v>612</v>
      </c>
      <c r="T69" t="s">
        <v>697</v>
      </c>
      <c r="U69" t="s">
        <v>530</v>
      </c>
      <c r="V69" t="s">
        <v>182</v>
      </c>
      <c r="X69" t="s">
        <v>1366</v>
      </c>
      <c r="Y69" t="s">
        <v>502</v>
      </c>
      <c r="Z69" t="s">
        <v>595</v>
      </c>
      <c r="AB69" t="s">
        <v>695</v>
      </c>
      <c r="AC69" t="s">
        <v>505</v>
      </c>
      <c r="AD69" t="s">
        <v>525</v>
      </c>
      <c r="AF69" t="s">
        <v>1367</v>
      </c>
      <c r="AG69" t="s">
        <v>501</v>
      </c>
      <c r="AH69" t="s">
        <v>209</v>
      </c>
      <c r="AJ69" t="s">
        <v>179</v>
      </c>
      <c r="AK69" t="s">
        <v>192</v>
      </c>
      <c r="AL69" t="s">
        <v>1117</v>
      </c>
      <c r="AM69" t="s">
        <v>186</v>
      </c>
      <c r="AN69" t="s">
        <v>176</v>
      </c>
      <c r="AO69" t="s">
        <v>926</v>
      </c>
      <c r="AP69" t="s">
        <v>493</v>
      </c>
      <c r="AQ69" t="s">
        <v>486</v>
      </c>
      <c r="AR69" t="s">
        <v>176</v>
      </c>
      <c r="AS69" t="s">
        <v>590</v>
      </c>
      <c r="AT69" t="s">
        <v>200</v>
      </c>
      <c r="AU69" t="s">
        <v>263</v>
      </c>
      <c r="AV69" t="s">
        <v>612</v>
      </c>
      <c r="AW69" t="s">
        <v>796</v>
      </c>
      <c r="AX69" t="s">
        <v>520</v>
      </c>
      <c r="AY69" t="s">
        <v>629</v>
      </c>
      <c r="AZ69" t="s">
        <v>176</v>
      </c>
      <c r="BA69" t="s">
        <v>590</v>
      </c>
      <c r="BB69" t="s">
        <v>197</v>
      </c>
      <c r="BC69" t="s">
        <v>623</v>
      </c>
      <c r="BD69">
        <v>1681</v>
      </c>
      <c r="BE69">
        <v>1615</v>
      </c>
      <c r="BF69">
        <v>1585</v>
      </c>
      <c r="BG69">
        <v>1633</v>
      </c>
      <c r="BH69">
        <v>1606</v>
      </c>
      <c r="BY69" t="s">
        <v>201</v>
      </c>
      <c r="BZ69" t="s">
        <v>213</v>
      </c>
      <c r="CA69" t="s">
        <v>724</v>
      </c>
      <c r="CB69" t="s">
        <v>174</v>
      </c>
      <c r="CC69" t="s">
        <v>301</v>
      </c>
      <c r="CD69" t="s">
        <v>724</v>
      </c>
      <c r="CE69" t="s">
        <v>496</v>
      </c>
      <c r="CF69" t="s">
        <v>644</v>
      </c>
      <c r="CG69" t="s">
        <v>724</v>
      </c>
      <c r="CH69" t="s">
        <v>174</v>
      </c>
      <c r="CI69" t="s">
        <v>208</v>
      </c>
      <c r="CJ69" t="s">
        <v>215</v>
      </c>
      <c r="CK69" t="s">
        <v>207</v>
      </c>
      <c r="CL69" t="s">
        <v>213</v>
      </c>
      <c r="CM69" t="s">
        <v>215</v>
      </c>
      <c r="CN69" t="s">
        <v>177</v>
      </c>
      <c r="CO69" t="s">
        <v>204</v>
      </c>
      <c r="CP69" t="s">
        <v>215</v>
      </c>
      <c r="CQ69" t="s">
        <v>174</v>
      </c>
      <c r="CR69" t="s">
        <v>213</v>
      </c>
      <c r="CS69" t="s">
        <v>174</v>
      </c>
      <c r="CT69" t="s">
        <v>207</v>
      </c>
      <c r="CU69" t="s">
        <v>644</v>
      </c>
      <c r="CV69" t="s">
        <v>174</v>
      </c>
      <c r="CW69" t="s">
        <v>177</v>
      </c>
      <c r="CX69" t="s">
        <v>497</v>
      </c>
      <c r="CY69" t="s">
        <v>174</v>
      </c>
      <c r="CZ69" t="s">
        <v>174</v>
      </c>
      <c r="DA69" t="s">
        <v>566</v>
      </c>
      <c r="DB69" t="s">
        <v>210</v>
      </c>
      <c r="DC69" t="s">
        <v>174</v>
      </c>
      <c r="DD69" t="s">
        <v>669</v>
      </c>
      <c r="DE69" t="s">
        <v>210</v>
      </c>
      <c r="DF69" t="s">
        <v>201</v>
      </c>
      <c r="DG69" t="s">
        <v>494</v>
      </c>
      <c r="DH69" t="s">
        <v>210</v>
      </c>
      <c r="FH69" t="s">
        <v>1368</v>
      </c>
    </row>
    <row r="70" spans="1:164" x14ac:dyDescent="0.25">
      <c r="A70">
        <v>4</v>
      </c>
      <c r="B70" t="s">
        <v>164</v>
      </c>
      <c r="C70">
        <v>46</v>
      </c>
      <c r="D70">
        <v>4601</v>
      </c>
      <c r="E70">
        <v>974738260</v>
      </c>
      <c r="F70" t="s">
        <v>165</v>
      </c>
      <c r="G70" t="s">
        <v>166</v>
      </c>
      <c r="H70" t="s">
        <v>167</v>
      </c>
      <c r="I70" t="s">
        <v>1369</v>
      </c>
      <c r="J70" t="s">
        <v>1552</v>
      </c>
      <c r="K70" t="s">
        <v>1373</v>
      </c>
      <c r="L70" t="s">
        <v>306</v>
      </c>
      <c r="M70" t="s">
        <v>604</v>
      </c>
      <c r="N70" t="s">
        <v>604</v>
      </c>
      <c r="O70" t="s">
        <v>604</v>
      </c>
      <c r="P70" t="s">
        <v>500</v>
      </c>
      <c r="Q70" t="s">
        <v>581</v>
      </c>
      <c r="R70" t="s">
        <v>195</v>
      </c>
      <c r="T70" t="s">
        <v>1370</v>
      </c>
      <c r="U70" t="s">
        <v>480</v>
      </c>
      <c r="V70" t="s">
        <v>523</v>
      </c>
      <c r="X70" t="s">
        <v>1300</v>
      </c>
      <c r="Y70" t="s">
        <v>480</v>
      </c>
      <c r="Z70" t="s">
        <v>195</v>
      </c>
      <c r="AB70" t="s">
        <v>507</v>
      </c>
      <c r="AC70" t="s">
        <v>505</v>
      </c>
      <c r="AD70" t="s">
        <v>525</v>
      </c>
      <c r="AF70" t="s">
        <v>1371</v>
      </c>
      <c r="AG70" t="s">
        <v>608</v>
      </c>
      <c r="AH70" t="s">
        <v>182</v>
      </c>
      <c r="AJ70" t="s">
        <v>612</v>
      </c>
      <c r="AK70" t="s">
        <v>701</v>
      </c>
      <c r="AL70" t="s">
        <v>702</v>
      </c>
      <c r="AM70" t="s">
        <v>214</v>
      </c>
      <c r="AN70" t="s">
        <v>187</v>
      </c>
      <c r="AO70" t="s">
        <v>785</v>
      </c>
      <c r="AP70" t="s">
        <v>794</v>
      </c>
      <c r="AQ70" t="s">
        <v>206</v>
      </c>
      <c r="AR70" t="s">
        <v>176</v>
      </c>
      <c r="AS70" t="s">
        <v>188</v>
      </c>
      <c r="AT70" t="s">
        <v>782</v>
      </c>
      <c r="AU70" t="s">
        <v>263</v>
      </c>
      <c r="AV70" t="s">
        <v>593</v>
      </c>
      <c r="AW70" t="s">
        <v>184</v>
      </c>
      <c r="AX70" t="s">
        <v>491</v>
      </c>
      <c r="AY70" t="s">
        <v>190</v>
      </c>
      <c r="AZ70" t="s">
        <v>489</v>
      </c>
      <c r="BA70" t="s">
        <v>701</v>
      </c>
      <c r="BB70" t="s">
        <v>1372</v>
      </c>
      <c r="BC70" t="s">
        <v>626</v>
      </c>
      <c r="BD70">
        <v>1560</v>
      </c>
      <c r="BE70">
        <v>1633</v>
      </c>
      <c r="BF70">
        <v>1737</v>
      </c>
      <c r="BG70">
        <v>1662</v>
      </c>
      <c r="BH70">
        <v>1675</v>
      </c>
      <c r="BY70" t="s">
        <v>281</v>
      </c>
      <c r="BZ70" t="s">
        <v>202</v>
      </c>
      <c r="CA70" t="s">
        <v>593</v>
      </c>
      <c r="CB70" t="s">
        <v>177</v>
      </c>
      <c r="CC70" t="s">
        <v>721</v>
      </c>
      <c r="CD70" t="s">
        <v>191</v>
      </c>
      <c r="CE70" t="s">
        <v>177</v>
      </c>
      <c r="CF70" t="s">
        <v>486</v>
      </c>
      <c r="CG70" t="s">
        <v>191</v>
      </c>
      <c r="CH70" t="s">
        <v>216</v>
      </c>
      <c r="CI70" t="s">
        <v>202</v>
      </c>
      <c r="CJ70" t="s">
        <v>525</v>
      </c>
      <c r="CK70" t="s">
        <v>281</v>
      </c>
      <c r="CL70" t="s">
        <v>494</v>
      </c>
      <c r="CM70" t="s">
        <v>525</v>
      </c>
      <c r="CN70" t="s">
        <v>207</v>
      </c>
      <c r="CO70" t="s">
        <v>213</v>
      </c>
      <c r="CP70" t="s">
        <v>217</v>
      </c>
      <c r="CQ70" t="s">
        <v>281</v>
      </c>
      <c r="CR70" t="s">
        <v>211</v>
      </c>
      <c r="CS70" t="s">
        <v>209</v>
      </c>
      <c r="CT70" t="s">
        <v>201</v>
      </c>
      <c r="CU70" t="s">
        <v>202</v>
      </c>
      <c r="CV70" t="s">
        <v>525</v>
      </c>
      <c r="CW70" t="s">
        <v>281</v>
      </c>
      <c r="CX70" t="s">
        <v>557</v>
      </c>
      <c r="CY70" t="s">
        <v>217</v>
      </c>
      <c r="CZ70" t="s">
        <v>177</v>
      </c>
      <c r="DA70" t="s">
        <v>211</v>
      </c>
      <c r="DB70" t="s">
        <v>209</v>
      </c>
      <c r="DC70" t="s">
        <v>281</v>
      </c>
      <c r="DD70" t="s">
        <v>557</v>
      </c>
      <c r="DE70" t="s">
        <v>212</v>
      </c>
      <c r="DF70" t="s">
        <v>207</v>
      </c>
      <c r="DG70" t="s">
        <v>557</v>
      </c>
      <c r="DH70" t="s">
        <v>209</v>
      </c>
      <c r="FH70" t="s">
        <v>1373</v>
      </c>
    </row>
    <row r="71" spans="1:164" x14ac:dyDescent="0.25">
      <c r="A71">
        <v>4</v>
      </c>
      <c r="B71" t="s">
        <v>164</v>
      </c>
      <c r="C71">
        <v>46</v>
      </c>
      <c r="D71">
        <v>4601</v>
      </c>
      <c r="E71">
        <v>974738457</v>
      </c>
      <c r="F71" t="s">
        <v>165</v>
      </c>
      <c r="G71" t="s">
        <v>166</v>
      </c>
      <c r="H71" t="s">
        <v>167</v>
      </c>
      <c r="I71" t="s">
        <v>1389</v>
      </c>
      <c r="J71" t="s">
        <v>1389</v>
      </c>
      <c r="K71" t="s">
        <v>1396</v>
      </c>
      <c r="P71" t="s">
        <v>1390</v>
      </c>
      <c r="Q71" t="s">
        <v>519</v>
      </c>
      <c r="R71" t="s">
        <v>505</v>
      </c>
      <c r="T71" t="s">
        <v>781</v>
      </c>
      <c r="U71" t="s">
        <v>182</v>
      </c>
      <c r="V71" t="s">
        <v>480</v>
      </c>
      <c r="X71" t="s">
        <v>752</v>
      </c>
      <c r="Y71" t="s">
        <v>512</v>
      </c>
      <c r="Z71" t="s">
        <v>580</v>
      </c>
      <c r="AB71" t="s">
        <v>1055</v>
      </c>
      <c r="AC71" t="s">
        <v>474</v>
      </c>
      <c r="AD71" t="s">
        <v>604</v>
      </c>
      <c r="AF71" t="s">
        <v>696</v>
      </c>
      <c r="AG71" t="s">
        <v>529</v>
      </c>
      <c r="AH71" t="s">
        <v>481</v>
      </c>
      <c r="AJ71" t="s">
        <v>525</v>
      </c>
      <c r="AK71" t="s">
        <v>1242</v>
      </c>
      <c r="AL71" t="s">
        <v>1285</v>
      </c>
      <c r="AM71" t="s">
        <v>208</v>
      </c>
      <c r="AN71" t="s">
        <v>212</v>
      </c>
      <c r="AO71" t="s">
        <v>1391</v>
      </c>
      <c r="AP71" t="s">
        <v>850</v>
      </c>
      <c r="AQ71" t="s">
        <v>629</v>
      </c>
      <c r="AR71" t="s">
        <v>525</v>
      </c>
      <c r="AS71" t="s">
        <v>1392</v>
      </c>
      <c r="AT71" t="s">
        <v>1042</v>
      </c>
      <c r="AU71" t="s">
        <v>494</v>
      </c>
      <c r="AV71" t="s">
        <v>216</v>
      </c>
      <c r="AW71" t="s">
        <v>850</v>
      </c>
      <c r="AX71" t="s">
        <v>1393</v>
      </c>
      <c r="AY71" t="s">
        <v>214</v>
      </c>
      <c r="AZ71" t="s">
        <v>215</v>
      </c>
      <c r="BA71" t="s">
        <v>546</v>
      </c>
      <c r="BB71" t="s">
        <v>1058</v>
      </c>
      <c r="BC71" t="s">
        <v>566</v>
      </c>
      <c r="BD71">
        <v>1943</v>
      </c>
      <c r="BE71">
        <v>1640</v>
      </c>
      <c r="BF71">
        <v>1664</v>
      </c>
      <c r="BG71">
        <v>1750</v>
      </c>
      <c r="BH71">
        <v>1778</v>
      </c>
      <c r="BI71" t="s">
        <v>349</v>
      </c>
      <c r="BJ71" t="s">
        <v>350</v>
      </c>
      <c r="BK71" t="s">
        <v>351</v>
      </c>
      <c r="BL71" t="s">
        <v>203</v>
      </c>
      <c r="BM71" t="s">
        <v>198</v>
      </c>
      <c r="BN71" t="s">
        <v>182</v>
      </c>
      <c r="BO71" t="s">
        <v>266</v>
      </c>
      <c r="BP71" t="s">
        <v>170</v>
      </c>
      <c r="BQ71" t="s">
        <v>266</v>
      </c>
      <c r="BR71" t="s">
        <v>474</v>
      </c>
      <c r="BS71" t="s">
        <v>849</v>
      </c>
      <c r="BT71" t="s">
        <v>952</v>
      </c>
      <c r="BU71" t="s">
        <v>1022</v>
      </c>
      <c r="BV71" t="s">
        <v>563</v>
      </c>
      <c r="BW71" t="s">
        <v>1394</v>
      </c>
      <c r="BX71" t="s">
        <v>565</v>
      </c>
      <c r="DI71" t="s">
        <v>174</v>
      </c>
      <c r="DJ71" t="s">
        <v>206</v>
      </c>
      <c r="DK71" t="s">
        <v>203</v>
      </c>
      <c r="DL71" t="s">
        <v>216</v>
      </c>
      <c r="DM71" t="s">
        <v>644</v>
      </c>
      <c r="DN71" t="s">
        <v>201</v>
      </c>
      <c r="DO71" t="s">
        <v>207</v>
      </c>
      <c r="DP71" t="s">
        <v>301</v>
      </c>
      <c r="DQ71" t="s">
        <v>639</v>
      </c>
      <c r="DR71" t="s">
        <v>281</v>
      </c>
      <c r="DS71" t="s">
        <v>558</v>
      </c>
      <c r="DT71" t="s">
        <v>968</v>
      </c>
      <c r="DU71" t="s">
        <v>207</v>
      </c>
      <c r="DV71" t="s">
        <v>669</v>
      </c>
      <c r="DW71" t="s">
        <v>559</v>
      </c>
      <c r="DX71" t="s">
        <v>177</v>
      </c>
      <c r="DY71" t="s">
        <v>566</v>
      </c>
      <c r="DZ71" t="s">
        <v>970</v>
      </c>
      <c r="EA71" t="s">
        <v>174</v>
      </c>
      <c r="EB71" t="s">
        <v>606</v>
      </c>
      <c r="EC71" t="s">
        <v>971</v>
      </c>
      <c r="ED71" t="s">
        <v>177</v>
      </c>
      <c r="EE71" t="s">
        <v>606</v>
      </c>
      <c r="EF71" t="s">
        <v>971</v>
      </c>
      <c r="EG71" t="s">
        <v>216</v>
      </c>
      <c r="EH71" t="s">
        <v>560</v>
      </c>
      <c r="EI71" t="s">
        <v>968</v>
      </c>
      <c r="EJ71" t="s">
        <v>201</v>
      </c>
      <c r="EK71" t="s">
        <v>560</v>
      </c>
      <c r="EL71" t="s">
        <v>563</v>
      </c>
      <c r="EM71" t="s">
        <v>177</v>
      </c>
      <c r="EN71" t="s">
        <v>560</v>
      </c>
      <c r="EO71" t="s">
        <v>549</v>
      </c>
      <c r="EP71" t="s">
        <v>207</v>
      </c>
      <c r="EQ71" t="s">
        <v>562</v>
      </c>
      <c r="ER71" t="s">
        <v>554</v>
      </c>
      <c r="ES71" t="s">
        <v>301</v>
      </c>
      <c r="ET71" t="s">
        <v>211</v>
      </c>
      <c r="EU71" t="s">
        <v>1003</v>
      </c>
      <c r="EV71" t="s">
        <v>211</v>
      </c>
      <c r="EW71" t="s">
        <v>623</v>
      </c>
      <c r="EX71" t="s">
        <v>738</v>
      </c>
      <c r="EY71">
        <v>100</v>
      </c>
      <c r="EZ71">
        <v>70</v>
      </c>
      <c r="FA71" t="s">
        <v>971</v>
      </c>
      <c r="FB71" t="s">
        <v>1395</v>
      </c>
      <c r="FC71" t="s">
        <v>388</v>
      </c>
      <c r="FD71" t="s">
        <v>1003</v>
      </c>
      <c r="FE71">
        <v>110</v>
      </c>
      <c r="FF71">
        <v>120</v>
      </c>
      <c r="FG71" t="s">
        <v>554</v>
      </c>
      <c r="FH71" t="s">
        <v>1396</v>
      </c>
    </row>
    <row r="72" spans="1:164" x14ac:dyDescent="0.25">
      <c r="A72">
        <v>4</v>
      </c>
      <c r="B72" t="s">
        <v>164</v>
      </c>
      <c r="C72">
        <v>46</v>
      </c>
      <c r="D72">
        <v>4601</v>
      </c>
      <c r="E72">
        <v>974737876</v>
      </c>
      <c r="F72" t="s">
        <v>165</v>
      </c>
      <c r="G72" t="s">
        <v>166</v>
      </c>
      <c r="H72" t="s">
        <v>167</v>
      </c>
      <c r="I72" t="s">
        <v>1397</v>
      </c>
      <c r="J72" t="s">
        <v>1397</v>
      </c>
      <c r="K72" t="s">
        <v>1403</v>
      </c>
      <c r="L72" t="s">
        <v>807</v>
      </c>
      <c r="M72" t="s">
        <v>902</v>
      </c>
      <c r="N72" t="s">
        <v>604</v>
      </c>
      <c r="O72" t="s">
        <v>604</v>
      </c>
      <c r="P72" t="s">
        <v>1398</v>
      </c>
      <c r="Q72" t="s">
        <v>581</v>
      </c>
      <c r="R72" t="s">
        <v>818</v>
      </c>
      <c r="T72" t="s">
        <v>750</v>
      </c>
      <c r="U72" t="s">
        <v>179</v>
      </c>
      <c r="V72" t="s">
        <v>859</v>
      </c>
      <c r="X72" t="s">
        <v>779</v>
      </c>
      <c r="Y72" t="s">
        <v>191</v>
      </c>
      <c r="Z72" t="s">
        <v>688</v>
      </c>
      <c r="AB72" t="s">
        <v>960</v>
      </c>
      <c r="AC72" t="s">
        <v>179</v>
      </c>
      <c r="AD72" t="s">
        <v>688</v>
      </c>
      <c r="AF72" t="s">
        <v>779</v>
      </c>
      <c r="AG72" t="s">
        <v>195</v>
      </c>
      <c r="AH72" t="s">
        <v>819</v>
      </c>
      <c r="AJ72" t="s">
        <v>171</v>
      </c>
      <c r="AK72" t="s">
        <v>786</v>
      </c>
      <c r="AL72" t="s">
        <v>188</v>
      </c>
      <c r="AM72" t="s">
        <v>618</v>
      </c>
      <c r="AN72" t="s">
        <v>203</v>
      </c>
      <c r="AO72" t="s">
        <v>832</v>
      </c>
      <c r="AP72" t="s">
        <v>1399</v>
      </c>
      <c r="AQ72" t="s">
        <v>1400</v>
      </c>
      <c r="AR72" t="s">
        <v>523</v>
      </c>
      <c r="AS72" t="s">
        <v>856</v>
      </c>
      <c r="AT72" t="s">
        <v>824</v>
      </c>
      <c r="AU72" t="s">
        <v>468</v>
      </c>
      <c r="AV72" t="s">
        <v>217</v>
      </c>
      <c r="AW72" t="s">
        <v>949</v>
      </c>
      <c r="AX72" t="s">
        <v>1401</v>
      </c>
      <c r="AY72" t="s">
        <v>1402</v>
      </c>
      <c r="AZ72" t="s">
        <v>523</v>
      </c>
      <c r="BA72" t="s">
        <v>1096</v>
      </c>
      <c r="BB72" t="s">
        <v>1241</v>
      </c>
      <c r="BC72" t="s">
        <v>1227</v>
      </c>
      <c r="BD72">
        <v>1583</v>
      </c>
      <c r="BE72">
        <v>1488</v>
      </c>
      <c r="BF72">
        <v>1270</v>
      </c>
      <c r="BG72">
        <v>1492</v>
      </c>
      <c r="BH72">
        <v>1385</v>
      </c>
      <c r="BY72" t="s">
        <v>207</v>
      </c>
      <c r="BZ72" t="s">
        <v>204</v>
      </c>
      <c r="CA72" t="s">
        <v>183</v>
      </c>
      <c r="CB72" t="s">
        <v>207</v>
      </c>
      <c r="CC72" t="s">
        <v>486</v>
      </c>
      <c r="CD72" t="s">
        <v>496</v>
      </c>
      <c r="CE72" t="s">
        <v>177</v>
      </c>
      <c r="CF72" t="s">
        <v>494</v>
      </c>
      <c r="CG72" t="s">
        <v>201</v>
      </c>
      <c r="CH72" t="s">
        <v>281</v>
      </c>
      <c r="CI72" t="s">
        <v>494</v>
      </c>
      <c r="CJ72" t="s">
        <v>525</v>
      </c>
      <c r="CK72" t="s">
        <v>174</v>
      </c>
      <c r="CL72" t="s">
        <v>202</v>
      </c>
      <c r="CM72" t="s">
        <v>215</v>
      </c>
      <c r="CN72" t="s">
        <v>281</v>
      </c>
      <c r="CO72" t="s">
        <v>204</v>
      </c>
      <c r="CP72" t="s">
        <v>217</v>
      </c>
      <c r="CQ72" t="s">
        <v>216</v>
      </c>
      <c r="CR72" t="s">
        <v>202</v>
      </c>
      <c r="CS72" t="s">
        <v>215</v>
      </c>
      <c r="CT72" t="s">
        <v>215</v>
      </c>
      <c r="CU72" t="s">
        <v>486</v>
      </c>
      <c r="CV72" t="s">
        <v>210</v>
      </c>
      <c r="CW72" t="s">
        <v>210</v>
      </c>
      <c r="CX72" t="s">
        <v>486</v>
      </c>
      <c r="CY72" t="s">
        <v>215</v>
      </c>
      <c r="CZ72" t="s">
        <v>174</v>
      </c>
      <c r="DA72" t="s">
        <v>204</v>
      </c>
      <c r="DB72" t="s">
        <v>177</v>
      </c>
      <c r="DC72" t="s">
        <v>216</v>
      </c>
      <c r="DD72" t="s">
        <v>204</v>
      </c>
      <c r="DE72" t="s">
        <v>215</v>
      </c>
      <c r="DF72" t="s">
        <v>207</v>
      </c>
      <c r="DG72" t="s">
        <v>211</v>
      </c>
      <c r="DH72" t="s">
        <v>215</v>
      </c>
      <c r="FH72" t="s">
        <v>1403</v>
      </c>
    </row>
    <row r="73" spans="1:164" x14ac:dyDescent="0.25">
      <c r="A73">
        <v>4</v>
      </c>
      <c r="B73" t="s">
        <v>164</v>
      </c>
      <c r="C73">
        <v>46</v>
      </c>
      <c r="D73">
        <v>4601</v>
      </c>
      <c r="E73">
        <v>974738325</v>
      </c>
      <c r="F73" t="s">
        <v>165</v>
      </c>
      <c r="G73" t="s">
        <v>166</v>
      </c>
      <c r="H73" t="s">
        <v>167</v>
      </c>
      <c r="I73" t="s">
        <v>1404</v>
      </c>
      <c r="J73" t="s">
        <v>1404</v>
      </c>
      <c r="K73" t="s">
        <v>1409</v>
      </c>
      <c r="L73" t="s">
        <v>1426</v>
      </c>
      <c r="M73" t="s">
        <v>604</v>
      </c>
      <c r="N73" t="s">
        <v>731</v>
      </c>
      <c r="O73" t="s">
        <v>731</v>
      </c>
      <c r="P73" t="s">
        <v>769</v>
      </c>
      <c r="Q73" t="s">
        <v>604</v>
      </c>
      <c r="R73" t="s">
        <v>604</v>
      </c>
      <c r="T73" t="s">
        <v>1405</v>
      </c>
      <c r="U73" t="s">
        <v>604</v>
      </c>
      <c r="V73" t="s">
        <v>604</v>
      </c>
      <c r="X73" t="s">
        <v>1326</v>
      </c>
      <c r="Y73" t="s">
        <v>655</v>
      </c>
      <c r="Z73" t="s">
        <v>604</v>
      </c>
      <c r="AB73" t="s">
        <v>1406</v>
      </c>
      <c r="AC73" t="s">
        <v>604</v>
      </c>
      <c r="AD73" t="s">
        <v>604</v>
      </c>
      <c r="AF73" t="s">
        <v>1127</v>
      </c>
      <c r="AG73" t="s">
        <v>604</v>
      </c>
      <c r="AH73" t="s">
        <v>604</v>
      </c>
      <c r="AJ73" t="s">
        <v>473</v>
      </c>
      <c r="AK73" t="s">
        <v>1012</v>
      </c>
      <c r="AL73" t="s">
        <v>1362</v>
      </c>
      <c r="AM73" t="s">
        <v>644</v>
      </c>
      <c r="AN73" t="s">
        <v>170</v>
      </c>
      <c r="AO73" t="s">
        <v>1407</v>
      </c>
      <c r="AP73" t="s">
        <v>1006</v>
      </c>
      <c r="AQ73" t="s">
        <v>495</v>
      </c>
      <c r="AR73" t="s">
        <v>170</v>
      </c>
      <c r="AS73" t="s">
        <v>805</v>
      </c>
      <c r="AT73" t="s">
        <v>900</v>
      </c>
      <c r="AU73" t="s">
        <v>557</v>
      </c>
      <c r="AV73" t="s">
        <v>473</v>
      </c>
      <c r="AW73" t="s">
        <v>1408</v>
      </c>
      <c r="AX73" t="s">
        <v>1407</v>
      </c>
      <c r="AY73" t="s">
        <v>497</v>
      </c>
      <c r="AZ73" t="s">
        <v>170</v>
      </c>
      <c r="BA73" t="s">
        <v>1072</v>
      </c>
      <c r="BB73" t="s">
        <v>901</v>
      </c>
      <c r="BC73" t="s">
        <v>644</v>
      </c>
      <c r="BD73">
        <v>1441</v>
      </c>
      <c r="BE73">
        <v>1517</v>
      </c>
      <c r="BF73">
        <v>1512</v>
      </c>
      <c r="BG73">
        <v>1537</v>
      </c>
      <c r="BH73">
        <v>1576</v>
      </c>
      <c r="BY73" t="s">
        <v>496</v>
      </c>
      <c r="BZ73" t="s">
        <v>208</v>
      </c>
      <c r="CA73" t="s">
        <v>176</v>
      </c>
      <c r="CB73" t="s">
        <v>201</v>
      </c>
      <c r="CC73" t="s">
        <v>629</v>
      </c>
      <c r="CD73" t="s">
        <v>176</v>
      </c>
      <c r="CE73" t="s">
        <v>183</v>
      </c>
      <c r="CF73" t="s">
        <v>202</v>
      </c>
      <c r="CG73" t="s">
        <v>176</v>
      </c>
      <c r="CH73" t="s">
        <v>177</v>
      </c>
      <c r="CI73" t="s">
        <v>486</v>
      </c>
      <c r="CJ73" t="s">
        <v>593</v>
      </c>
      <c r="CK73" t="s">
        <v>281</v>
      </c>
      <c r="CL73" t="s">
        <v>557</v>
      </c>
      <c r="CM73" t="s">
        <v>191</v>
      </c>
      <c r="CN73" t="s">
        <v>201</v>
      </c>
      <c r="CO73" t="s">
        <v>486</v>
      </c>
      <c r="CP73" t="s">
        <v>191</v>
      </c>
      <c r="CQ73" t="s">
        <v>201</v>
      </c>
      <c r="CR73" t="s">
        <v>202</v>
      </c>
      <c r="CS73" t="s">
        <v>595</v>
      </c>
      <c r="CT73" t="s">
        <v>201</v>
      </c>
      <c r="CU73" t="s">
        <v>557</v>
      </c>
      <c r="CV73" t="s">
        <v>595</v>
      </c>
      <c r="CW73" t="s">
        <v>177</v>
      </c>
      <c r="CX73" t="s">
        <v>644</v>
      </c>
      <c r="CY73" t="s">
        <v>595</v>
      </c>
      <c r="CZ73" t="s">
        <v>201</v>
      </c>
      <c r="DA73" t="s">
        <v>208</v>
      </c>
      <c r="DB73" t="s">
        <v>593</v>
      </c>
      <c r="DC73" t="s">
        <v>207</v>
      </c>
      <c r="DD73" t="s">
        <v>557</v>
      </c>
      <c r="DE73" t="s">
        <v>593</v>
      </c>
      <c r="DF73" t="s">
        <v>207</v>
      </c>
      <c r="DG73" t="s">
        <v>204</v>
      </c>
      <c r="DH73" t="s">
        <v>593</v>
      </c>
      <c r="FH73" t="s">
        <v>1409</v>
      </c>
    </row>
    <row r="74" spans="1:164" x14ac:dyDescent="0.25">
      <c r="A74">
        <v>4</v>
      </c>
      <c r="B74" t="s">
        <v>164</v>
      </c>
      <c r="C74">
        <v>46</v>
      </c>
      <c r="D74">
        <v>4601</v>
      </c>
      <c r="E74">
        <v>974739380</v>
      </c>
      <c r="F74" t="s">
        <v>165</v>
      </c>
      <c r="G74" t="s">
        <v>166</v>
      </c>
      <c r="H74" t="s">
        <v>167</v>
      </c>
      <c r="I74" t="s">
        <v>1410</v>
      </c>
      <c r="J74" t="s">
        <v>1410</v>
      </c>
      <c r="K74" t="s">
        <v>1417</v>
      </c>
      <c r="L74" t="s">
        <v>651</v>
      </c>
      <c r="M74" t="s">
        <v>651</v>
      </c>
      <c r="N74" t="s">
        <v>731</v>
      </c>
      <c r="O74" t="s">
        <v>731</v>
      </c>
      <c r="P74" t="s">
        <v>1411</v>
      </c>
      <c r="Q74" t="s">
        <v>176</v>
      </c>
      <c r="R74" t="s">
        <v>612</v>
      </c>
      <c r="T74" t="s">
        <v>1412</v>
      </c>
      <c r="U74" t="s">
        <v>176</v>
      </c>
      <c r="V74" t="s">
        <v>593</v>
      </c>
      <c r="X74" t="s">
        <v>1413</v>
      </c>
      <c r="Y74" t="s">
        <v>612</v>
      </c>
      <c r="Z74" t="s">
        <v>212</v>
      </c>
      <c r="AB74" t="s">
        <v>1412</v>
      </c>
      <c r="AC74" t="s">
        <v>529</v>
      </c>
      <c r="AD74" t="s">
        <v>582</v>
      </c>
      <c r="AF74" t="s">
        <v>1414</v>
      </c>
      <c r="AG74" t="s">
        <v>182</v>
      </c>
      <c r="AH74" t="s">
        <v>212</v>
      </c>
      <c r="AJ74" t="s">
        <v>210</v>
      </c>
      <c r="AK74" t="s">
        <v>1355</v>
      </c>
      <c r="AL74" t="s">
        <v>854</v>
      </c>
      <c r="AM74" t="s">
        <v>800</v>
      </c>
      <c r="AN74" t="s">
        <v>177</v>
      </c>
      <c r="AO74" t="s">
        <v>1309</v>
      </c>
      <c r="AP74" t="s">
        <v>1262</v>
      </c>
      <c r="AQ74" t="s">
        <v>800</v>
      </c>
      <c r="AR74" t="s">
        <v>174</v>
      </c>
      <c r="AS74" t="s">
        <v>1415</v>
      </c>
      <c r="AT74" t="s">
        <v>1355</v>
      </c>
      <c r="AU74" t="s">
        <v>650</v>
      </c>
      <c r="AV74" t="s">
        <v>207</v>
      </c>
      <c r="AW74" t="s">
        <v>1416</v>
      </c>
      <c r="AX74" t="s">
        <v>810</v>
      </c>
      <c r="AY74" t="s">
        <v>1064</v>
      </c>
      <c r="AZ74" t="s">
        <v>207</v>
      </c>
      <c r="BA74" t="s">
        <v>1353</v>
      </c>
      <c r="BB74" t="s">
        <v>854</v>
      </c>
      <c r="BC74" t="s">
        <v>929</v>
      </c>
      <c r="BD74">
        <v>1683</v>
      </c>
      <c r="BE74">
        <v>1686</v>
      </c>
      <c r="BF74">
        <v>1681</v>
      </c>
      <c r="BG74">
        <v>1691</v>
      </c>
      <c r="BH74">
        <v>1691</v>
      </c>
      <c r="BY74" t="s">
        <v>174</v>
      </c>
      <c r="BZ74" t="s">
        <v>669</v>
      </c>
      <c r="CA74" t="s">
        <v>811</v>
      </c>
      <c r="CB74" t="s">
        <v>496</v>
      </c>
      <c r="CC74" t="s">
        <v>562</v>
      </c>
      <c r="CD74" t="s">
        <v>691</v>
      </c>
      <c r="CE74" t="s">
        <v>201</v>
      </c>
      <c r="CF74" t="s">
        <v>564</v>
      </c>
      <c r="CG74" t="s">
        <v>691</v>
      </c>
      <c r="CH74" t="s">
        <v>201</v>
      </c>
      <c r="CI74" t="s">
        <v>644</v>
      </c>
      <c r="CJ74" t="s">
        <v>811</v>
      </c>
      <c r="CK74" t="s">
        <v>183</v>
      </c>
      <c r="CL74" t="s">
        <v>558</v>
      </c>
      <c r="CM74" t="s">
        <v>639</v>
      </c>
      <c r="CN74" t="s">
        <v>600</v>
      </c>
      <c r="CO74" t="s">
        <v>564</v>
      </c>
      <c r="CP74" t="s">
        <v>639</v>
      </c>
      <c r="CQ74" t="s">
        <v>201</v>
      </c>
      <c r="CR74" t="s">
        <v>566</v>
      </c>
      <c r="CS74" t="s">
        <v>683</v>
      </c>
      <c r="CT74" t="s">
        <v>174</v>
      </c>
      <c r="CU74" t="s">
        <v>669</v>
      </c>
      <c r="CV74" t="s">
        <v>684</v>
      </c>
      <c r="CW74" t="s">
        <v>205</v>
      </c>
      <c r="CX74" t="s">
        <v>560</v>
      </c>
      <c r="CY74" t="s">
        <v>689</v>
      </c>
      <c r="CZ74" t="s">
        <v>201</v>
      </c>
      <c r="DA74" t="s">
        <v>566</v>
      </c>
      <c r="DB74" t="s">
        <v>1138</v>
      </c>
      <c r="DC74" t="s">
        <v>205</v>
      </c>
      <c r="DD74" t="s">
        <v>564</v>
      </c>
      <c r="DE74" t="s">
        <v>1138</v>
      </c>
      <c r="DF74" t="s">
        <v>600</v>
      </c>
      <c r="DG74" t="s">
        <v>560</v>
      </c>
      <c r="DH74" t="s">
        <v>754</v>
      </c>
      <c r="FH74" t="s">
        <v>1417</v>
      </c>
    </row>
    <row r="75" spans="1:164" x14ac:dyDescent="0.25">
      <c r="A75">
        <v>4</v>
      </c>
      <c r="B75" t="s">
        <v>164</v>
      </c>
      <c r="C75">
        <v>46</v>
      </c>
      <c r="D75">
        <v>4601</v>
      </c>
      <c r="E75">
        <v>974738236</v>
      </c>
      <c r="F75" t="s">
        <v>165</v>
      </c>
      <c r="G75" t="s">
        <v>166</v>
      </c>
      <c r="H75" t="s">
        <v>167</v>
      </c>
      <c r="I75" t="s">
        <v>1418</v>
      </c>
      <c r="J75" t="s">
        <v>1418</v>
      </c>
      <c r="K75" t="s">
        <v>1429</v>
      </c>
      <c r="L75" t="s">
        <v>1010</v>
      </c>
      <c r="M75" t="s">
        <v>1232</v>
      </c>
      <c r="N75" t="s">
        <v>604</v>
      </c>
      <c r="O75" t="s">
        <v>1229</v>
      </c>
      <c r="P75" t="s">
        <v>1419</v>
      </c>
      <c r="Q75" t="s">
        <v>187</v>
      </c>
      <c r="R75" t="s">
        <v>523</v>
      </c>
      <c r="T75" t="s">
        <v>1420</v>
      </c>
      <c r="U75" t="s">
        <v>533</v>
      </c>
      <c r="V75" t="s">
        <v>512</v>
      </c>
      <c r="X75" t="s">
        <v>1421</v>
      </c>
      <c r="Y75" t="s">
        <v>474</v>
      </c>
      <c r="Z75" t="s">
        <v>529</v>
      </c>
      <c r="AB75" t="s">
        <v>1422</v>
      </c>
      <c r="AC75" t="s">
        <v>476</v>
      </c>
      <c r="AD75" t="s">
        <v>593</v>
      </c>
      <c r="AF75" t="s">
        <v>1423</v>
      </c>
      <c r="AG75" t="s">
        <v>530</v>
      </c>
      <c r="AH75" t="s">
        <v>480</v>
      </c>
      <c r="AJ75" t="s">
        <v>217</v>
      </c>
      <c r="AK75" t="s">
        <v>1424</v>
      </c>
      <c r="AL75" t="s">
        <v>831</v>
      </c>
      <c r="AM75" t="s">
        <v>651</v>
      </c>
      <c r="AN75" t="s">
        <v>212</v>
      </c>
      <c r="AO75" t="s">
        <v>1026</v>
      </c>
      <c r="AP75" t="s">
        <v>1399</v>
      </c>
      <c r="AQ75" t="s">
        <v>825</v>
      </c>
      <c r="AR75" t="s">
        <v>523</v>
      </c>
      <c r="AS75" t="s">
        <v>1425</v>
      </c>
      <c r="AT75" t="s">
        <v>853</v>
      </c>
      <c r="AU75" t="s">
        <v>1426</v>
      </c>
      <c r="AV75" t="s">
        <v>203</v>
      </c>
      <c r="AW75" t="s">
        <v>850</v>
      </c>
      <c r="AX75" t="s">
        <v>1427</v>
      </c>
      <c r="AY75" t="s">
        <v>194</v>
      </c>
      <c r="AZ75" t="s">
        <v>171</v>
      </c>
      <c r="BA75" t="s">
        <v>1136</v>
      </c>
      <c r="BB75" t="s">
        <v>1428</v>
      </c>
      <c r="BC75" t="s">
        <v>194</v>
      </c>
      <c r="BD75">
        <v>1669</v>
      </c>
      <c r="BE75">
        <v>1699</v>
      </c>
      <c r="BF75">
        <v>1700</v>
      </c>
      <c r="BG75">
        <v>1701</v>
      </c>
      <c r="BH75">
        <v>1682</v>
      </c>
      <c r="BY75" t="s">
        <v>216</v>
      </c>
      <c r="BZ75" t="s">
        <v>495</v>
      </c>
      <c r="CA75" t="s">
        <v>682</v>
      </c>
      <c r="CB75" t="s">
        <v>281</v>
      </c>
      <c r="CC75" t="s">
        <v>301</v>
      </c>
      <c r="CD75" t="s">
        <v>676</v>
      </c>
      <c r="CE75" t="s">
        <v>216</v>
      </c>
      <c r="CF75" t="s">
        <v>566</v>
      </c>
      <c r="CG75" t="s">
        <v>676</v>
      </c>
      <c r="CH75" t="s">
        <v>281</v>
      </c>
      <c r="CI75" t="s">
        <v>644</v>
      </c>
      <c r="CJ75" t="s">
        <v>727</v>
      </c>
      <c r="CK75" t="s">
        <v>174</v>
      </c>
      <c r="CL75" t="s">
        <v>497</v>
      </c>
      <c r="CM75" t="s">
        <v>727</v>
      </c>
      <c r="CN75" t="s">
        <v>177</v>
      </c>
      <c r="CO75" t="s">
        <v>669</v>
      </c>
      <c r="CP75" t="s">
        <v>727</v>
      </c>
      <c r="CQ75" t="s">
        <v>281</v>
      </c>
      <c r="CR75" t="s">
        <v>213</v>
      </c>
      <c r="CS75" t="s">
        <v>730</v>
      </c>
      <c r="CT75" t="s">
        <v>177</v>
      </c>
      <c r="CU75" t="s">
        <v>301</v>
      </c>
      <c r="CV75" t="s">
        <v>734</v>
      </c>
      <c r="CW75" t="s">
        <v>174</v>
      </c>
      <c r="CX75" t="s">
        <v>213</v>
      </c>
      <c r="CY75" t="s">
        <v>734</v>
      </c>
      <c r="CZ75" t="s">
        <v>177</v>
      </c>
      <c r="DA75" t="s">
        <v>497</v>
      </c>
      <c r="DB75" t="s">
        <v>732</v>
      </c>
      <c r="DC75" t="s">
        <v>281</v>
      </c>
      <c r="DD75" t="s">
        <v>562</v>
      </c>
      <c r="DE75" t="s">
        <v>732</v>
      </c>
      <c r="DF75" t="s">
        <v>174</v>
      </c>
      <c r="DG75" t="s">
        <v>669</v>
      </c>
      <c r="DH75" t="s">
        <v>732</v>
      </c>
      <c r="FH75" t="s">
        <v>1429</v>
      </c>
    </row>
    <row r="76" spans="1:164" x14ac:dyDescent="0.25">
      <c r="A76">
        <v>4</v>
      </c>
      <c r="B76" t="s">
        <v>164</v>
      </c>
      <c r="C76">
        <v>46</v>
      </c>
      <c r="D76">
        <v>4601</v>
      </c>
      <c r="E76">
        <v>974117045</v>
      </c>
      <c r="F76" t="s">
        <v>165</v>
      </c>
      <c r="G76" t="s">
        <v>166</v>
      </c>
      <c r="H76" t="s">
        <v>167</v>
      </c>
      <c r="I76" t="s">
        <v>1430</v>
      </c>
      <c r="J76" t="s">
        <v>1430</v>
      </c>
      <c r="K76" t="s">
        <v>1434</v>
      </c>
      <c r="L76" t="s">
        <v>604</v>
      </c>
      <c r="M76" t="s">
        <v>604</v>
      </c>
      <c r="N76" t="s">
        <v>731</v>
      </c>
      <c r="O76" t="s">
        <v>604</v>
      </c>
      <c r="P76" t="s">
        <v>1431</v>
      </c>
      <c r="Q76" t="s">
        <v>474</v>
      </c>
      <c r="R76" t="s">
        <v>722</v>
      </c>
      <c r="T76" t="s">
        <v>837</v>
      </c>
      <c r="U76" t="s">
        <v>179</v>
      </c>
      <c r="V76" t="s">
        <v>1027</v>
      </c>
      <c r="X76" t="s">
        <v>837</v>
      </c>
      <c r="Y76" t="s">
        <v>179</v>
      </c>
      <c r="Z76" t="s">
        <v>722</v>
      </c>
      <c r="AB76" t="s">
        <v>507</v>
      </c>
      <c r="AC76" t="s">
        <v>195</v>
      </c>
      <c r="AD76" t="s">
        <v>496</v>
      </c>
      <c r="AF76" t="s">
        <v>172</v>
      </c>
      <c r="AG76" t="s">
        <v>593</v>
      </c>
      <c r="AH76" t="s">
        <v>180</v>
      </c>
      <c r="AJ76" t="s">
        <v>212</v>
      </c>
      <c r="AK76" t="s">
        <v>1041</v>
      </c>
      <c r="AL76" t="s">
        <v>487</v>
      </c>
      <c r="AM76" t="s">
        <v>198</v>
      </c>
      <c r="AN76" t="s">
        <v>523</v>
      </c>
      <c r="AO76" t="s">
        <v>1041</v>
      </c>
      <c r="AP76" t="s">
        <v>487</v>
      </c>
      <c r="AQ76" t="s">
        <v>797</v>
      </c>
      <c r="AR76" t="s">
        <v>525</v>
      </c>
      <c r="AS76" t="s">
        <v>964</v>
      </c>
      <c r="AT76" t="s">
        <v>1427</v>
      </c>
      <c r="AU76" t="s">
        <v>1064</v>
      </c>
      <c r="AV76" t="s">
        <v>216</v>
      </c>
      <c r="AW76" t="s">
        <v>1039</v>
      </c>
      <c r="AX76" t="s">
        <v>1082</v>
      </c>
      <c r="AY76" t="s">
        <v>649</v>
      </c>
      <c r="AZ76" t="s">
        <v>217</v>
      </c>
      <c r="BA76" t="s">
        <v>1268</v>
      </c>
      <c r="BB76" t="s">
        <v>1432</v>
      </c>
      <c r="BC76" t="s">
        <v>800</v>
      </c>
      <c r="BD76">
        <v>1923</v>
      </c>
      <c r="BE76">
        <v>2115</v>
      </c>
      <c r="BF76">
        <v>2157</v>
      </c>
      <c r="BG76">
        <v>1792</v>
      </c>
      <c r="BH76">
        <v>1714</v>
      </c>
      <c r="BI76" t="s">
        <v>349</v>
      </c>
      <c r="BJ76" t="s">
        <v>350</v>
      </c>
      <c r="BK76" t="s">
        <v>633</v>
      </c>
      <c r="BL76" t="s">
        <v>505</v>
      </c>
      <c r="BM76" t="s">
        <v>550</v>
      </c>
      <c r="BN76" t="s">
        <v>580</v>
      </c>
      <c r="BO76" t="s">
        <v>604</v>
      </c>
      <c r="BP76" t="s">
        <v>604</v>
      </c>
      <c r="BQ76" t="s">
        <v>604</v>
      </c>
      <c r="BR76" t="s">
        <v>604</v>
      </c>
      <c r="BS76" t="s">
        <v>535</v>
      </c>
      <c r="BT76" t="s">
        <v>281</v>
      </c>
      <c r="BU76" t="s">
        <v>1433</v>
      </c>
      <c r="BV76" t="s">
        <v>216</v>
      </c>
      <c r="BW76" t="s">
        <v>948</v>
      </c>
      <c r="BX76" t="s">
        <v>210</v>
      </c>
      <c r="BY76" t="s">
        <v>174</v>
      </c>
      <c r="BZ76" t="s">
        <v>630</v>
      </c>
      <c r="CA76" t="s">
        <v>512</v>
      </c>
      <c r="CB76" t="s">
        <v>177</v>
      </c>
      <c r="CC76" t="s">
        <v>266</v>
      </c>
      <c r="CD76" t="s">
        <v>533</v>
      </c>
      <c r="CE76" t="s">
        <v>207</v>
      </c>
      <c r="CF76" t="s">
        <v>550</v>
      </c>
      <c r="CG76" t="s">
        <v>512</v>
      </c>
      <c r="CH76" t="s">
        <v>209</v>
      </c>
      <c r="CI76" t="s">
        <v>202</v>
      </c>
      <c r="CJ76" t="s">
        <v>474</v>
      </c>
      <c r="CK76" t="s">
        <v>525</v>
      </c>
      <c r="CL76" t="s">
        <v>206</v>
      </c>
      <c r="CM76" t="s">
        <v>533</v>
      </c>
      <c r="CN76" t="s">
        <v>525</v>
      </c>
      <c r="CO76" t="s">
        <v>630</v>
      </c>
      <c r="CP76" t="s">
        <v>533</v>
      </c>
      <c r="CQ76" t="s">
        <v>205</v>
      </c>
      <c r="CR76" t="s">
        <v>721</v>
      </c>
      <c r="CS76" t="s">
        <v>512</v>
      </c>
      <c r="CT76" t="s">
        <v>281</v>
      </c>
      <c r="CU76" t="s">
        <v>486</v>
      </c>
      <c r="CV76" t="s">
        <v>512</v>
      </c>
      <c r="CW76" t="s">
        <v>496</v>
      </c>
      <c r="CX76" t="s">
        <v>208</v>
      </c>
      <c r="CY76" t="s">
        <v>512</v>
      </c>
      <c r="CZ76" t="s">
        <v>216</v>
      </c>
      <c r="DA76" t="s">
        <v>522</v>
      </c>
      <c r="DB76" t="s">
        <v>173</v>
      </c>
      <c r="DC76" t="s">
        <v>217</v>
      </c>
      <c r="DD76" t="s">
        <v>633</v>
      </c>
      <c r="DE76" t="s">
        <v>173</v>
      </c>
      <c r="DF76" t="s">
        <v>217</v>
      </c>
      <c r="DG76" t="s">
        <v>633</v>
      </c>
      <c r="DH76" t="s">
        <v>173</v>
      </c>
      <c r="DI76" t="s">
        <v>174</v>
      </c>
      <c r="DJ76" t="s">
        <v>557</v>
      </c>
      <c r="DK76" t="s">
        <v>177</v>
      </c>
      <c r="DL76" t="s">
        <v>281</v>
      </c>
      <c r="DM76" t="s">
        <v>494</v>
      </c>
      <c r="DN76" t="s">
        <v>201</v>
      </c>
      <c r="DO76" t="s">
        <v>281</v>
      </c>
      <c r="DP76" t="s">
        <v>497</v>
      </c>
      <c r="DQ76" t="s">
        <v>207</v>
      </c>
      <c r="DR76" t="s">
        <v>174</v>
      </c>
      <c r="DS76" t="s">
        <v>494</v>
      </c>
      <c r="DT76" t="s">
        <v>183</v>
      </c>
      <c r="DU76" t="s">
        <v>281</v>
      </c>
      <c r="DV76" t="s">
        <v>214</v>
      </c>
      <c r="DW76" t="s">
        <v>183</v>
      </c>
      <c r="DX76" t="s">
        <v>281</v>
      </c>
      <c r="DY76" t="s">
        <v>204</v>
      </c>
      <c r="DZ76" t="s">
        <v>183</v>
      </c>
      <c r="EA76" t="s">
        <v>183</v>
      </c>
      <c r="EB76" t="s">
        <v>214</v>
      </c>
      <c r="EC76" t="s">
        <v>207</v>
      </c>
      <c r="ED76" t="s">
        <v>207</v>
      </c>
      <c r="EE76" t="s">
        <v>497</v>
      </c>
      <c r="EF76" t="s">
        <v>281</v>
      </c>
      <c r="EG76" t="s">
        <v>174</v>
      </c>
      <c r="EH76" t="s">
        <v>557</v>
      </c>
      <c r="EI76" t="s">
        <v>281</v>
      </c>
      <c r="EJ76" t="s">
        <v>496</v>
      </c>
      <c r="EK76" t="s">
        <v>557</v>
      </c>
      <c r="EL76" t="s">
        <v>201</v>
      </c>
      <c r="EM76" t="s">
        <v>201</v>
      </c>
      <c r="EN76" t="s">
        <v>211</v>
      </c>
      <c r="EO76" t="s">
        <v>201</v>
      </c>
      <c r="EP76" t="s">
        <v>207</v>
      </c>
      <c r="EQ76" t="s">
        <v>211</v>
      </c>
      <c r="ER76" t="s">
        <v>201</v>
      </c>
      <c r="ES76" t="s">
        <v>731</v>
      </c>
      <c r="ET76" t="s">
        <v>731</v>
      </c>
      <c r="EU76" t="s">
        <v>205</v>
      </c>
      <c r="EV76" t="s">
        <v>731</v>
      </c>
      <c r="EW76" t="s">
        <v>731</v>
      </c>
      <c r="EX76" t="s">
        <v>174</v>
      </c>
      <c r="EY76">
        <v>100</v>
      </c>
      <c r="EZ76">
        <v>150</v>
      </c>
      <c r="FA76" t="s">
        <v>201</v>
      </c>
      <c r="FB76" t="s">
        <v>388</v>
      </c>
      <c r="FC76" t="s">
        <v>605</v>
      </c>
      <c r="FD76" t="s">
        <v>496</v>
      </c>
      <c r="FE76">
        <v>100</v>
      </c>
      <c r="FF76">
        <v>120</v>
      </c>
      <c r="FG76" t="s">
        <v>201</v>
      </c>
      <c r="FH76" t="s">
        <v>1434</v>
      </c>
    </row>
    <row r="77" spans="1:164" x14ac:dyDescent="0.25">
      <c r="A77">
        <v>4</v>
      </c>
      <c r="B77" t="s">
        <v>164</v>
      </c>
      <c r="C77">
        <v>46</v>
      </c>
      <c r="D77">
        <v>4601</v>
      </c>
      <c r="E77">
        <v>973465112</v>
      </c>
      <c r="F77" t="s">
        <v>165</v>
      </c>
      <c r="G77" t="s">
        <v>166</v>
      </c>
      <c r="H77" t="s">
        <v>167</v>
      </c>
      <c r="I77" t="s">
        <v>1435</v>
      </c>
      <c r="J77" t="s">
        <v>1435</v>
      </c>
      <c r="K77" t="s">
        <v>1438</v>
      </c>
      <c r="P77" t="s">
        <v>512</v>
      </c>
      <c r="Q77" t="s">
        <v>604</v>
      </c>
      <c r="R77" t="s">
        <v>556</v>
      </c>
      <c r="T77" t="s">
        <v>612</v>
      </c>
      <c r="U77" t="s">
        <v>604</v>
      </c>
      <c r="V77" t="s">
        <v>556</v>
      </c>
      <c r="X77" t="s">
        <v>512</v>
      </c>
      <c r="Y77" t="s">
        <v>604</v>
      </c>
      <c r="Z77" t="s">
        <v>556</v>
      </c>
      <c r="AB77" t="s">
        <v>182</v>
      </c>
      <c r="AC77" t="s">
        <v>604</v>
      </c>
      <c r="AD77" t="s">
        <v>556</v>
      </c>
      <c r="AF77" t="s">
        <v>176</v>
      </c>
      <c r="AG77" t="s">
        <v>604</v>
      </c>
      <c r="AH77" t="s">
        <v>556</v>
      </c>
      <c r="AJ77" t="s">
        <v>504</v>
      </c>
      <c r="AK77" t="s">
        <v>640</v>
      </c>
      <c r="AL77" t="s">
        <v>1009</v>
      </c>
      <c r="AM77" t="s">
        <v>712</v>
      </c>
      <c r="AN77" t="s">
        <v>501</v>
      </c>
      <c r="AO77" t="s">
        <v>1013</v>
      </c>
      <c r="AP77" t="s">
        <v>1436</v>
      </c>
      <c r="AQ77" t="s">
        <v>300</v>
      </c>
      <c r="AR77" t="s">
        <v>581</v>
      </c>
      <c r="AS77" t="s">
        <v>775</v>
      </c>
      <c r="AT77" t="s">
        <v>901</v>
      </c>
      <c r="AU77" t="s">
        <v>1437</v>
      </c>
      <c r="AV77" t="s">
        <v>581</v>
      </c>
      <c r="AW77" t="s">
        <v>1010</v>
      </c>
      <c r="AX77" t="s">
        <v>901</v>
      </c>
      <c r="AZ77" t="s">
        <v>581</v>
      </c>
      <c r="BA77" t="s">
        <v>938</v>
      </c>
      <c r="BB77" t="s">
        <v>743</v>
      </c>
      <c r="BC77" t="s">
        <v>564</v>
      </c>
      <c r="BD77">
        <v>0</v>
      </c>
      <c r="BE77">
        <v>0</v>
      </c>
      <c r="BF77">
        <v>0</v>
      </c>
      <c r="BG77">
        <v>0</v>
      </c>
      <c r="BH77">
        <v>0</v>
      </c>
      <c r="DI77" t="s">
        <v>604</v>
      </c>
      <c r="DJ77" t="s">
        <v>604</v>
      </c>
      <c r="DK77" t="s">
        <v>604</v>
      </c>
      <c r="DL77" t="s">
        <v>604</v>
      </c>
      <c r="DM77" t="s">
        <v>604</v>
      </c>
      <c r="DN77" t="s">
        <v>604</v>
      </c>
      <c r="DQ77" t="s">
        <v>556</v>
      </c>
      <c r="DT77" t="s">
        <v>556</v>
      </c>
      <c r="DW77" t="s">
        <v>556</v>
      </c>
      <c r="DZ77" t="s">
        <v>556</v>
      </c>
      <c r="EC77" t="s">
        <v>556</v>
      </c>
      <c r="ED77" t="s">
        <v>604</v>
      </c>
      <c r="EE77" t="s">
        <v>604</v>
      </c>
      <c r="EF77" t="s">
        <v>604</v>
      </c>
      <c r="EG77" t="s">
        <v>604</v>
      </c>
      <c r="EH77" t="s">
        <v>604</v>
      </c>
      <c r="EI77" t="s">
        <v>604</v>
      </c>
      <c r="FH77" t="s">
        <v>1438</v>
      </c>
    </row>
    <row r="78" spans="1:164" x14ac:dyDescent="0.25">
      <c r="A78">
        <v>4</v>
      </c>
      <c r="B78" t="s">
        <v>164</v>
      </c>
      <c r="C78">
        <v>46</v>
      </c>
      <c r="D78">
        <v>4601</v>
      </c>
      <c r="E78">
        <v>974223384</v>
      </c>
      <c r="F78" t="s">
        <v>165</v>
      </c>
      <c r="G78" t="s">
        <v>166</v>
      </c>
      <c r="H78" t="s">
        <v>167</v>
      </c>
      <c r="I78" t="s">
        <v>1445</v>
      </c>
      <c r="J78" t="s">
        <v>1445</v>
      </c>
      <c r="K78" t="s">
        <v>1447</v>
      </c>
      <c r="L78" t="s">
        <v>731</v>
      </c>
      <c r="M78" t="s">
        <v>731</v>
      </c>
      <c r="N78" t="s">
        <v>731</v>
      </c>
      <c r="O78" t="s">
        <v>604</v>
      </c>
      <c r="P78" t="s">
        <v>575</v>
      </c>
      <c r="Q78" t="s">
        <v>533</v>
      </c>
      <c r="R78" t="s">
        <v>604</v>
      </c>
      <c r="T78" t="s">
        <v>551</v>
      </c>
      <c r="U78" t="s">
        <v>474</v>
      </c>
      <c r="V78" t="s">
        <v>604</v>
      </c>
      <c r="X78" t="s">
        <v>1446</v>
      </c>
      <c r="Y78" t="s">
        <v>170</v>
      </c>
      <c r="Z78" t="s">
        <v>604</v>
      </c>
      <c r="AB78" t="s">
        <v>572</v>
      </c>
      <c r="AC78" t="s">
        <v>581</v>
      </c>
      <c r="AD78" t="s">
        <v>604</v>
      </c>
      <c r="AF78" t="s">
        <v>552</v>
      </c>
      <c r="AG78" t="s">
        <v>580</v>
      </c>
      <c r="AH78" t="s">
        <v>604</v>
      </c>
      <c r="AJ78" t="s">
        <v>519</v>
      </c>
      <c r="AK78" t="s">
        <v>521</v>
      </c>
      <c r="AL78" t="s">
        <v>511</v>
      </c>
      <c r="AM78" t="s">
        <v>797</v>
      </c>
      <c r="AN78" t="s">
        <v>519</v>
      </c>
      <c r="AO78" t="s">
        <v>1249</v>
      </c>
      <c r="AP78" t="s">
        <v>514</v>
      </c>
      <c r="AQ78" t="s">
        <v>186</v>
      </c>
      <c r="AR78" t="s">
        <v>519</v>
      </c>
      <c r="AS78" t="s">
        <v>667</v>
      </c>
      <c r="AT78" t="s">
        <v>1166</v>
      </c>
      <c r="AU78" t="s">
        <v>351</v>
      </c>
      <c r="AV78" t="s">
        <v>474</v>
      </c>
      <c r="AW78" t="s">
        <v>511</v>
      </c>
      <c r="AX78" t="s">
        <v>1167</v>
      </c>
      <c r="AY78" t="s">
        <v>211</v>
      </c>
      <c r="AZ78" t="s">
        <v>476</v>
      </c>
      <c r="BA78" t="s">
        <v>717</v>
      </c>
      <c r="BB78" t="s">
        <v>775</v>
      </c>
      <c r="BC78" t="s">
        <v>644</v>
      </c>
      <c r="BD78">
        <v>1136</v>
      </c>
      <c r="BE78">
        <v>1311</v>
      </c>
      <c r="BF78">
        <v>1206</v>
      </c>
      <c r="BG78">
        <v>1233</v>
      </c>
      <c r="BH78">
        <v>1191</v>
      </c>
      <c r="BS78" t="s">
        <v>648</v>
      </c>
      <c r="BT78" t="s">
        <v>580</v>
      </c>
      <c r="BU78" t="s">
        <v>826</v>
      </c>
      <c r="BV78" t="s">
        <v>505</v>
      </c>
      <c r="BW78" t="s">
        <v>875</v>
      </c>
      <c r="BX78" t="s">
        <v>480</v>
      </c>
      <c r="BY78" t="s">
        <v>525</v>
      </c>
      <c r="BZ78" t="s">
        <v>266</v>
      </c>
      <c r="CA78" t="s">
        <v>581</v>
      </c>
      <c r="CB78" t="s">
        <v>210</v>
      </c>
      <c r="CC78" t="s">
        <v>1064</v>
      </c>
      <c r="CD78" t="s">
        <v>581</v>
      </c>
      <c r="CE78" t="s">
        <v>525</v>
      </c>
      <c r="CF78" t="s">
        <v>800</v>
      </c>
      <c r="CG78" t="s">
        <v>581</v>
      </c>
      <c r="CH78" t="s">
        <v>207</v>
      </c>
      <c r="CI78" t="s">
        <v>651</v>
      </c>
      <c r="CJ78" t="s">
        <v>505</v>
      </c>
      <c r="CK78" t="s">
        <v>174</v>
      </c>
      <c r="CL78" t="s">
        <v>950</v>
      </c>
      <c r="CM78" t="s">
        <v>505</v>
      </c>
      <c r="CN78" t="s">
        <v>215</v>
      </c>
      <c r="CO78" t="s">
        <v>651</v>
      </c>
      <c r="CP78" t="s">
        <v>505</v>
      </c>
      <c r="CQ78" t="s">
        <v>604</v>
      </c>
      <c r="CR78" t="s">
        <v>604</v>
      </c>
      <c r="CS78" t="s">
        <v>604</v>
      </c>
      <c r="CT78" t="s">
        <v>604</v>
      </c>
      <c r="CU78" t="s">
        <v>604</v>
      </c>
      <c r="CV78" t="s">
        <v>604</v>
      </c>
      <c r="CW78" t="s">
        <v>604</v>
      </c>
      <c r="CX78" t="s">
        <v>604</v>
      </c>
      <c r="CY78" t="s">
        <v>604</v>
      </c>
      <c r="CZ78" t="s">
        <v>210</v>
      </c>
      <c r="DA78" t="s">
        <v>598</v>
      </c>
      <c r="DB78" t="s">
        <v>501</v>
      </c>
      <c r="DC78" t="s">
        <v>177</v>
      </c>
      <c r="DD78" t="s">
        <v>1064</v>
      </c>
      <c r="DE78" t="s">
        <v>501</v>
      </c>
      <c r="DF78" t="s">
        <v>215</v>
      </c>
      <c r="DG78" t="s">
        <v>637</v>
      </c>
      <c r="DH78" t="s">
        <v>501</v>
      </c>
      <c r="DI78" t="s">
        <v>174</v>
      </c>
      <c r="DJ78" t="s">
        <v>263</v>
      </c>
      <c r="DK78" t="s">
        <v>580</v>
      </c>
      <c r="DL78" t="s">
        <v>281</v>
      </c>
      <c r="DM78" t="s">
        <v>633</v>
      </c>
      <c r="DN78" t="s">
        <v>580</v>
      </c>
      <c r="DO78" t="s">
        <v>217</v>
      </c>
      <c r="DP78" t="s">
        <v>797</v>
      </c>
      <c r="DQ78" t="s">
        <v>580</v>
      </c>
      <c r="DR78" t="s">
        <v>201</v>
      </c>
      <c r="DS78" t="s">
        <v>623</v>
      </c>
      <c r="DT78" t="s">
        <v>581</v>
      </c>
      <c r="DU78" t="s">
        <v>177</v>
      </c>
      <c r="DV78" t="s">
        <v>800</v>
      </c>
      <c r="DW78" t="s">
        <v>581</v>
      </c>
      <c r="DX78" t="s">
        <v>177</v>
      </c>
      <c r="DY78" t="s">
        <v>929</v>
      </c>
      <c r="DZ78" t="s">
        <v>480</v>
      </c>
      <c r="EA78" t="s">
        <v>205</v>
      </c>
      <c r="EB78" t="s">
        <v>194</v>
      </c>
      <c r="EC78" t="s">
        <v>505</v>
      </c>
      <c r="ED78" t="s">
        <v>207</v>
      </c>
      <c r="EE78" t="s">
        <v>1015</v>
      </c>
      <c r="EF78" t="s">
        <v>504</v>
      </c>
      <c r="EG78" t="s">
        <v>210</v>
      </c>
      <c r="EH78" t="s">
        <v>649</v>
      </c>
      <c r="EI78" t="s">
        <v>504</v>
      </c>
      <c r="EJ78" t="s">
        <v>207</v>
      </c>
      <c r="EK78" t="s">
        <v>800</v>
      </c>
      <c r="EL78" t="s">
        <v>581</v>
      </c>
      <c r="EM78" t="s">
        <v>216</v>
      </c>
      <c r="EN78" t="s">
        <v>263</v>
      </c>
      <c r="EO78" t="s">
        <v>501</v>
      </c>
      <c r="EP78" t="s">
        <v>217</v>
      </c>
      <c r="EQ78" t="s">
        <v>631</v>
      </c>
      <c r="ER78" t="s">
        <v>501</v>
      </c>
      <c r="ES78" t="s">
        <v>731</v>
      </c>
      <c r="ET78" t="s">
        <v>731</v>
      </c>
      <c r="EU78" t="s">
        <v>608</v>
      </c>
      <c r="EV78" t="s">
        <v>731</v>
      </c>
      <c r="EW78" t="s">
        <v>731</v>
      </c>
      <c r="EX78" t="s">
        <v>581</v>
      </c>
      <c r="EY78">
        <v>110</v>
      </c>
      <c r="EZ78">
        <v>0</v>
      </c>
      <c r="FA78" t="s">
        <v>501</v>
      </c>
      <c r="FB78" t="s">
        <v>772</v>
      </c>
      <c r="FC78" t="s">
        <v>300</v>
      </c>
      <c r="FD78" t="s">
        <v>580</v>
      </c>
      <c r="FE78">
        <v>0</v>
      </c>
      <c r="FF78">
        <v>0</v>
      </c>
      <c r="FG78" t="s">
        <v>480</v>
      </c>
      <c r="FH78" t="s">
        <v>1447</v>
      </c>
    </row>
    <row r="79" spans="1:164" x14ac:dyDescent="0.25">
      <c r="A79">
        <v>4</v>
      </c>
      <c r="B79" t="s">
        <v>164</v>
      </c>
      <c r="C79">
        <v>46</v>
      </c>
      <c r="D79">
        <v>4601</v>
      </c>
      <c r="E79">
        <v>973448889</v>
      </c>
      <c r="F79" t="s">
        <v>165</v>
      </c>
      <c r="G79" t="s">
        <v>166</v>
      </c>
      <c r="H79" t="s">
        <v>167</v>
      </c>
      <c r="I79" t="s">
        <v>1448</v>
      </c>
      <c r="J79" t="s">
        <v>1448</v>
      </c>
      <c r="K79" t="s">
        <v>1438</v>
      </c>
      <c r="P79" t="s">
        <v>1446</v>
      </c>
      <c r="Q79" t="s">
        <v>480</v>
      </c>
      <c r="R79" t="s">
        <v>604</v>
      </c>
      <c r="T79" t="s">
        <v>572</v>
      </c>
      <c r="U79" t="s">
        <v>501</v>
      </c>
      <c r="V79" t="s">
        <v>604</v>
      </c>
      <c r="X79" t="s">
        <v>1004</v>
      </c>
      <c r="Y79" t="s">
        <v>480</v>
      </c>
      <c r="Z79" t="s">
        <v>604</v>
      </c>
      <c r="AB79" t="s">
        <v>1004</v>
      </c>
      <c r="AC79" t="s">
        <v>581</v>
      </c>
      <c r="AD79" t="s">
        <v>556</v>
      </c>
      <c r="AF79" t="s">
        <v>1321</v>
      </c>
      <c r="AG79" t="s">
        <v>501</v>
      </c>
      <c r="AH79" t="s">
        <v>556</v>
      </c>
      <c r="AJ79" t="s">
        <v>612</v>
      </c>
      <c r="AK79" t="s">
        <v>808</v>
      </c>
      <c r="AL79" t="s">
        <v>984</v>
      </c>
      <c r="AM79" t="s">
        <v>642</v>
      </c>
      <c r="AN79" t="s">
        <v>182</v>
      </c>
      <c r="AO79" t="s">
        <v>1449</v>
      </c>
      <c r="AP79" t="s">
        <v>619</v>
      </c>
      <c r="AQ79" t="s">
        <v>953</v>
      </c>
      <c r="AR79" t="s">
        <v>182</v>
      </c>
      <c r="AS79" t="s">
        <v>516</v>
      </c>
      <c r="AT79" t="s">
        <v>770</v>
      </c>
      <c r="AU79" t="s">
        <v>712</v>
      </c>
      <c r="AV79" t="s">
        <v>612</v>
      </c>
      <c r="AW79" t="s">
        <v>514</v>
      </c>
      <c r="AX79" t="s">
        <v>985</v>
      </c>
      <c r="AY79" t="s">
        <v>644</v>
      </c>
      <c r="AZ79" t="s">
        <v>187</v>
      </c>
      <c r="BA79" t="s">
        <v>984</v>
      </c>
      <c r="BB79" t="s">
        <v>1073</v>
      </c>
      <c r="BC79" t="s">
        <v>633</v>
      </c>
      <c r="BD79">
        <v>1075</v>
      </c>
      <c r="BE79">
        <v>1321</v>
      </c>
      <c r="BF79">
        <v>1363</v>
      </c>
      <c r="BG79">
        <v>1213</v>
      </c>
      <c r="BH79">
        <v>1781</v>
      </c>
      <c r="BY79" t="s">
        <v>217</v>
      </c>
      <c r="BZ79" t="s">
        <v>649</v>
      </c>
      <c r="CA79" t="s">
        <v>480</v>
      </c>
      <c r="CB79" t="s">
        <v>216</v>
      </c>
      <c r="CC79" t="s">
        <v>632</v>
      </c>
      <c r="CD79" t="s">
        <v>580</v>
      </c>
      <c r="CE79" t="s">
        <v>215</v>
      </c>
      <c r="CF79" t="s">
        <v>630</v>
      </c>
      <c r="CG79" t="s">
        <v>480</v>
      </c>
      <c r="CH79" t="s">
        <v>604</v>
      </c>
      <c r="CI79" t="s">
        <v>604</v>
      </c>
      <c r="CJ79" t="s">
        <v>604</v>
      </c>
      <c r="CK79" t="s">
        <v>604</v>
      </c>
      <c r="CL79" t="s">
        <v>604</v>
      </c>
      <c r="CM79" t="s">
        <v>604</v>
      </c>
      <c r="CN79" t="s">
        <v>604</v>
      </c>
      <c r="CO79" t="s">
        <v>604</v>
      </c>
      <c r="CP79" t="s">
        <v>604</v>
      </c>
      <c r="CQ79" t="s">
        <v>595</v>
      </c>
      <c r="CR79" t="s">
        <v>204</v>
      </c>
      <c r="CS79" t="s">
        <v>480</v>
      </c>
      <c r="CT79" t="s">
        <v>524</v>
      </c>
      <c r="CU79" t="s">
        <v>929</v>
      </c>
      <c r="CV79" t="s">
        <v>480</v>
      </c>
      <c r="CW79" t="s">
        <v>595</v>
      </c>
      <c r="CX79" t="s">
        <v>301</v>
      </c>
      <c r="CY79" t="s">
        <v>480</v>
      </c>
      <c r="CZ79" t="s">
        <v>203</v>
      </c>
      <c r="DA79" t="s">
        <v>1064</v>
      </c>
      <c r="DB79" t="s">
        <v>504</v>
      </c>
      <c r="DC79" t="s">
        <v>215</v>
      </c>
      <c r="DD79" t="s">
        <v>631</v>
      </c>
      <c r="DE79" t="s">
        <v>504</v>
      </c>
      <c r="DF79" t="s">
        <v>524</v>
      </c>
      <c r="DG79" t="s">
        <v>629</v>
      </c>
      <c r="DH79" t="s">
        <v>580</v>
      </c>
      <c r="DI79" t="s">
        <v>205</v>
      </c>
      <c r="DJ79" t="s">
        <v>1450</v>
      </c>
      <c r="DK79" t="s">
        <v>502</v>
      </c>
      <c r="DL79" t="s">
        <v>207</v>
      </c>
      <c r="DM79" t="s">
        <v>351</v>
      </c>
      <c r="DN79" t="s">
        <v>608</v>
      </c>
      <c r="DO79" t="s">
        <v>216</v>
      </c>
      <c r="DP79" t="s">
        <v>633</v>
      </c>
      <c r="DQ79" t="s">
        <v>502</v>
      </c>
      <c r="DR79" t="s">
        <v>174</v>
      </c>
      <c r="DS79" t="s">
        <v>630</v>
      </c>
      <c r="DT79" t="s">
        <v>505</v>
      </c>
      <c r="DU79" t="s">
        <v>210</v>
      </c>
      <c r="DV79" t="s">
        <v>389</v>
      </c>
      <c r="DW79" t="s">
        <v>505</v>
      </c>
      <c r="DX79" t="s">
        <v>174</v>
      </c>
      <c r="DY79" t="s">
        <v>186</v>
      </c>
      <c r="DZ79" t="s">
        <v>505</v>
      </c>
      <c r="EA79" t="s">
        <v>212</v>
      </c>
      <c r="EB79" t="s">
        <v>827</v>
      </c>
      <c r="EC79" t="s">
        <v>505</v>
      </c>
      <c r="ED79" t="s">
        <v>203</v>
      </c>
      <c r="EE79" t="s">
        <v>631</v>
      </c>
      <c r="EF79" t="s">
        <v>505</v>
      </c>
      <c r="EG79" t="s">
        <v>588</v>
      </c>
      <c r="EH79" t="s">
        <v>1426</v>
      </c>
      <c r="EI79" t="s">
        <v>505</v>
      </c>
      <c r="EJ79" t="s">
        <v>207</v>
      </c>
      <c r="EK79" t="s">
        <v>649</v>
      </c>
      <c r="EL79" t="s">
        <v>581</v>
      </c>
      <c r="EM79" t="s">
        <v>210</v>
      </c>
      <c r="EN79" t="s">
        <v>1347</v>
      </c>
      <c r="EO79" t="s">
        <v>480</v>
      </c>
      <c r="EP79" t="s">
        <v>212</v>
      </c>
      <c r="EQ79" t="s">
        <v>797</v>
      </c>
      <c r="ER79" t="s">
        <v>504</v>
      </c>
      <c r="FH79" t="s">
        <v>1438</v>
      </c>
    </row>
    <row r="80" spans="1:164" x14ac:dyDescent="0.25">
      <c r="A80">
        <v>4</v>
      </c>
      <c r="B80" t="s">
        <v>164</v>
      </c>
      <c r="C80">
        <v>46</v>
      </c>
      <c r="D80">
        <v>4601</v>
      </c>
      <c r="E80">
        <v>974738619</v>
      </c>
      <c r="F80" t="s">
        <v>165</v>
      </c>
      <c r="G80" t="s">
        <v>166</v>
      </c>
      <c r="H80" t="s">
        <v>167</v>
      </c>
      <c r="I80" t="s">
        <v>1451</v>
      </c>
      <c r="J80" t="s">
        <v>1451</v>
      </c>
      <c r="K80" t="s">
        <v>1459</v>
      </c>
      <c r="P80" t="s">
        <v>752</v>
      </c>
      <c r="Q80" t="s">
        <v>581</v>
      </c>
      <c r="R80" t="s">
        <v>580</v>
      </c>
      <c r="T80" t="s">
        <v>1452</v>
      </c>
      <c r="U80" t="s">
        <v>581</v>
      </c>
      <c r="V80" t="s">
        <v>505</v>
      </c>
      <c r="X80" t="s">
        <v>1453</v>
      </c>
      <c r="Y80" t="s">
        <v>580</v>
      </c>
      <c r="Z80" t="s">
        <v>608</v>
      </c>
      <c r="AB80" t="s">
        <v>1454</v>
      </c>
      <c r="AC80" t="s">
        <v>504</v>
      </c>
      <c r="AD80" t="s">
        <v>608</v>
      </c>
      <c r="AF80" t="s">
        <v>960</v>
      </c>
      <c r="AG80" t="s">
        <v>502</v>
      </c>
      <c r="AH80" t="s">
        <v>480</v>
      </c>
      <c r="AJ80" t="s">
        <v>524</v>
      </c>
      <c r="AK80" t="s">
        <v>1136</v>
      </c>
      <c r="AL80" t="s">
        <v>786</v>
      </c>
      <c r="AM80" t="s">
        <v>560</v>
      </c>
      <c r="AN80" t="s">
        <v>524</v>
      </c>
      <c r="AO80" t="s">
        <v>1039</v>
      </c>
      <c r="AP80" t="s">
        <v>1455</v>
      </c>
      <c r="AQ80" t="s">
        <v>558</v>
      </c>
      <c r="AR80" t="s">
        <v>216</v>
      </c>
      <c r="AS80" t="s">
        <v>823</v>
      </c>
      <c r="AT80" t="s">
        <v>1456</v>
      </c>
      <c r="AU80" t="s">
        <v>560</v>
      </c>
      <c r="AV80" t="s">
        <v>215</v>
      </c>
      <c r="AW80" t="s">
        <v>1457</v>
      </c>
      <c r="AX80" t="s">
        <v>1157</v>
      </c>
      <c r="AY80" t="s">
        <v>211</v>
      </c>
      <c r="AZ80" t="s">
        <v>523</v>
      </c>
      <c r="BA80" t="s">
        <v>1137</v>
      </c>
      <c r="BB80" t="s">
        <v>762</v>
      </c>
      <c r="BC80" t="s">
        <v>560</v>
      </c>
      <c r="BD80">
        <v>1970</v>
      </c>
      <c r="BE80">
        <v>1983</v>
      </c>
      <c r="BF80">
        <v>1994</v>
      </c>
      <c r="BG80">
        <v>1976</v>
      </c>
      <c r="BH80">
        <v>1998</v>
      </c>
      <c r="BI80" t="s">
        <v>349</v>
      </c>
      <c r="BJ80" t="s">
        <v>350</v>
      </c>
      <c r="BK80" t="s">
        <v>630</v>
      </c>
      <c r="BL80" t="s">
        <v>476</v>
      </c>
      <c r="BQ80" t="s">
        <v>598</v>
      </c>
      <c r="BR80" t="s">
        <v>505</v>
      </c>
      <c r="BS80" t="s">
        <v>813</v>
      </c>
      <c r="BT80" t="s">
        <v>969</v>
      </c>
      <c r="BU80" t="s">
        <v>1458</v>
      </c>
      <c r="BV80" t="s">
        <v>549</v>
      </c>
      <c r="BW80" t="s">
        <v>433</v>
      </c>
      <c r="BX80" t="s">
        <v>552</v>
      </c>
      <c r="DI80" t="s">
        <v>201</v>
      </c>
      <c r="DJ80" t="s">
        <v>560</v>
      </c>
      <c r="DK80" t="s">
        <v>972</v>
      </c>
      <c r="DL80" t="s">
        <v>205</v>
      </c>
      <c r="DM80" t="s">
        <v>562</v>
      </c>
      <c r="DN80" t="s">
        <v>573</v>
      </c>
      <c r="DO80" t="s">
        <v>205</v>
      </c>
      <c r="DP80" t="s">
        <v>560</v>
      </c>
      <c r="DQ80" t="s">
        <v>552</v>
      </c>
      <c r="DR80" t="s">
        <v>205</v>
      </c>
      <c r="DS80" t="s">
        <v>562</v>
      </c>
      <c r="DT80" t="s">
        <v>1004</v>
      </c>
      <c r="DU80" t="s">
        <v>174</v>
      </c>
      <c r="DV80" t="s">
        <v>560</v>
      </c>
      <c r="DW80" t="s">
        <v>1004</v>
      </c>
      <c r="DX80" t="s">
        <v>174</v>
      </c>
      <c r="DY80" t="s">
        <v>558</v>
      </c>
      <c r="DZ80" t="s">
        <v>1004</v>
      </c>
      <c r="EA80" t="s">
        <v>205</v>
      </c>
      <c r="EB80" t="s">
        <v>560</v>
      </c>
      <c r="EC80" t="s">
        <v>570</v>
      </c>
      <c r="ED80" t="s">
        <v>281</v>
      </c>
      <c r="EE80" t="s">
        <v>562</v>
      </c>
      <c r="EF80" t="s">
        <v>551</v>
      </c>
      <c r="EG80" t="s">
        <v>207</v>
      </c>
      <c r="EH80" t="s">
        <v>562</v>
      </c>
      <c r="EI80" t="s">
        <v>864</v>
      </c>
      <c r="EJ80" t="s">
        <v>496</v>
      </c>
      <c r="EK80" t="s">
        <v>562</v>
      </c>
      <c r="EL80" t="s">
        <v>1296</v>
      </c>
      <c r="EM80" t="s">
        <v>174</v>
      </c>
      <c r="EN80" t="s">
        <v>558</v>
      </c>
      <c r="EO80" t="s">
        <v>972</v>
      </c>
      <c r="EP80" t="s">
        <v>281</v>
      </c>
      <c r="EQ80" t="s">
        <v>558</v>
      </c>
      <c r="ER80" t="s">
        <v>1004</v>
      </c>
      <c r="ES80" t="s">
        <v>731</v>
      </c>
      <c r="ET80" t="s">
        <v>300</v>
      </c>
      <c r="EU80" t="s">
        <v>954</v>
      </c>
      <c r="EV80" t="s">
        <v>301</v>
      </c>
      <c r="EW80" t="s">
        <v>190</v>
      </c>
      <c r="EX80" t="s">
        <v>1289</v>
      </c>
      <c r="EY80">
        <v>80</v>
      </c>
      <c r="EZ80">
        <v>50</v>
      </c>
      <c r="FA80" t="s">
        <v>858</v>
      </c>
      <c r="FB80" t="s">
        <v>468</v>
      </c>
      <c r="FC80" t="s">
        <v>306</v>
      </c>
      <c r="FD80" t="s">
        <v>1005</v>
      </c>
      <c r="FE80">
        <v>100</v>
      </c>
      <c r="FF80">
        <v>80</v>
      </c>
      <c r="FG80" t="s">
        <v>1288</v>
      </c>
      <c r="FH80" t="s">
        <v>1459</v>
      </c>
    </row>
    <row r="81" spans="1:164" x14ac:dyDescent="0.25">
      <c r="A81">
        <v>4</v>
      </c>
      <c r="B81" t="s">
        <v>164</v>
      </c>
      <c r="C81">
        <v>46</v>
      </c>
      <c r="D81">
        <v>4601</v>
      </c>
      <c r="E81">
        <v>974738074</v>
      </c>
      <c r="F81" t="s">
        <v>165</v>
      </c>
      <c r="G81" t="s">
        <v>166</v>
      </c>
      <c r="H81" t="s">
        <v>167</v>
      </c>
      <c r="I81" t="s">
        <v>1460</v>
      </c>
      <c r="J81" t="s">
        <v>1460</v>
      </c>
      <c r="K81" t="s">
        <v>1461</v>
      </c>
      <c r="L81" t="s">
        <v>1528</v>
      </c>
      <c r="M81" t="s">
        <v>829</v>
      </c>
      <c r="N81" t="s">
        <v>604</v>
      </c>
      <c r="O81" t="s">
        <v>829</v>
      </c>
      <c r="P81" t="s">
        <v>695</v>
      </c>
      <c r="Q81" t="s">
        <v>502</v>
      </c>
      <c r="R81" t="s">
        <v>529</v>
      </c>
      <c r="T81" t="s">
        <v>919</v>
      </c>
      <c r="U81" t="s">
        <v>505</v>
      </c>
      <c r="V81" t="s">
        <v>476</v>
      </c>
      <c r="X81" t="s">
        <v>921</v>
      </c>
      <c r="Y81" t="s">
        <v>481</v>
      </c>
      <c r="Z81" t="s">
        <v>473</v>
      </c>
      <c r="AB81" t="s">
        <v>1331</v>
      </c>
      <c r="AC81" t="s">
        <v>655</v>
      </c>
      <c r="AD81" t="s">
        <v>529</v>
      </c>
      <c r="AF81" t="s">
        <v>909</v>
      </c>
      <c r="AG81" t="s">
        <v>530</v>
      </c>
      <c r="AH81" t="s">
        <v>173</v>
      </c>
      <c r="AJ81" t="s">
        <v>489</v>
      </c>
      <c r="AK81" t="s">
        <v>193</v>
      </c>
      <c r="AL81" t="s">
        <v>782</v>
      </c>
      <c r="AM81" t="s">
        <v>497</v>
      </c>
      <c r="AN81" t="s">
        <v>179</v>
      </c>
      <c r="AO81" t="s">
        <v>493</v>
      </c>
      <c r="AP81" t="s">
        <v>1372</v>
      </c>
      <c r="AQ81" t="s">
        <v>214</v>
      </c>
      <c r="AR81" t="s">
        <v>179</v>
      </c>
      <c r="AS81" t="s">
        <v>794</v>
      </c>
      <c r="AT81" t="s">
        <v>625</v>
      </c>
      <c r="AU81" t="s">
        <v>558</v>
      </c>
      <c r="AV81" t="s">
        <v>512</v>
      </c>
      <c r="AW81" t="s">
        <v>185</v>
      </c>
      <c r="AX81" t="s">
        <v>1166</v>
      </c>
      <c r="AY81" t="s">
        <v>562</v>
      </c>
      <c r="AZ81" t="s">
        <v>519</v>
      </c>
      <c r="BA81" t="s">
        <v>491</v>
      </c>
      <c r="BB81" t="s">
        <v>616</v>
      </c>
      <c r="BC81" t="s">
        <v>301</v>
      </c>
      <c r="BD81">
        <v>1560</v>
      </c>
      <c r="BE81">
        <v>1643</v>
      </c>
      <c r="BF81">
        <v>1637</v>
      </c>
      <c r="BG81">
        <v>1636</v>
      </c>
      <c r="BH81">
        <v>1632</v>
      </c>
      <c r="BY81" t="s">
        <v>177</v>
      </c>
      <c r="BZ81" t="s">
        <v>486</v>
      </c>
      <c r="CA81" t="s">
        <v>525</v>
      </c>
      <c r="CB81" t="s">
        <v>207</v>
      </c>
      <c r="CC81" t="s">
        <v>494</v>
      </c>
      <c r="CD81" t="s">
        <v>212</v>
      </c>
      <c r="CE81" t="s">
        <v>281</v>
      </c>
      <c r="CF81" t="s">
        <v>214</v>
      </c>
      <c r="CG81" t="s">
        <v>203</v>
      </c>
      <c r="CH81" t="s">
        <v>281</v>
      </c>
      <c r="CI81" t="s">
        <v>211</v>
      </c>
      <c r="CJ81" t="s">
        <v>216</v>
      </c>
      <c r="CK81" t="s">
        <v>174</v>
      </c>
      <c r="CL81" t="s">
        <v>214</v>
      </c>
      <c r="CM81" t="s">
        <v>210</v>
      </c>
      <c r="CN81" t="s">
        <v>201</v>
      </c>
      <c r="CO81" t="s">
        <v>202</v>
      </c>
      <c r="CP81" t="s">
        <v>216</v>
      </c>
      <c r="CQ81" t="s">
        <v>177</v>
      </c>
      <c r="CR81" t="s">
        <v>214</v>
      </c>
      <c r="CS81" t="s">
        <v>174</v>
      </c>
      <c r="CT81" t="s">
        <v>207</v>
      </c>
      <c r="CU81" t="s">
        <v>566</v>
      </c>
      <c r="CV81" t="s">
        <v>174</v>
      </c>
      <c r="CW81" t="s">
        <v>177</v>
      </c>
      <c r="CX81" t="s">
        <v>213</v>
      </c>
      <c r="CY81" t="s">
        <v>174</v>
      </c>
      <c r="CZ81" t="s">
        <v>216</v>
      </c>
      <c r="DA81" t="s">
        <v>204</v>
      </c>
      <c r="DB81" t="s">
        <v>217</v>
      </c>
      <c r="DC81" t="s">
        <v>177</v>
      </c>
      <c r="DD81" t="s">
        <v>213</v>
      </c>
      <c r="DE81" t="s">
        <v>217</v>
      </c>
      <c r="DF81" t="s">
        <v>177</v>
      </c>
      <c r="DG81" t="s">
        <v>202</v>
      </c>
      <c r="DH81" t="s">
        <v>525</v>
      </c>
      <c r="FH81" t="s">
        <v>1461</v>
      </c>
    </row>
    <row r="82" spans="1:164" x14ac:dyDescent="0.25">
      <c r="A82">
        <v>4</v>
      </c>
      <c r="B82" t="s">
        <v>164</v>
      </c>
      <c r="C82">
        <v>46</v>
      </c>
      <c r="D82">
        <v>4601</v>
      </c>
      <c r="E82">
        <v>974738155</v>
      </c>
      <c r="F82" t="s">
        <v>165</v>
      </c>
      <c r="G82" t="s">
        <v>166</v>
      </c>
      <c r="H82" t="s">
        <v>167</v>
      </c>
      <c r="I82" t="s">
        <v>1462</v>
      </c>
      <c r="J82" t="s">
        <v>1462</v>
      </c>
      <c r="K82" t="s">
        <v>1598</v>
      </c>
      <c r="P82" t="s">
        <v>476</v>
      </c>
      <c r="Q82" t="s">
        <v>604</v>
      </c>
      <c r="R82" t="s">
        <v>604</v>
      </c>
      <c r="T82" t="s">
        <v>476</v>
      </c>
      <c r="U82" t="s">
        <v>604</v>
      </c>
      <c r="V82" t="s">
        <v>556</v>
      </c>
      <c r="AJ82" t="s">
        <v>1463</v>
      </c>
      <c r="AK82" t="s">
        <v>522</v>
      </c>
      <c r="AL82" t="s">
        <v>206</v>
      </c>
      <c r="AM82" t="s">
        <v>953</v>
      </c>
      <c r="AN82" t="s">
        <v>508</v>
      </c>
      <c r="AO82" t="s">
        <v>186</v>
      </c>
      <c r="AP82" t="s">
        <v>598</v>
      </c>
      <c r="AQ82" t="s">
        <v>712</v>
      </c>
      <c r="AR82" t="s">
        <v>1464</v>
      </c>
      <c r="AS82" t="s">
        <v>300</v>
      </c>
      <c r="AT82" t="s">
        <v>300</v>
      </c>
      <c r="BD82">
        <v>737</v>
      </c>
      <c r="BE82">
        <v>567</v>
      </c>
      <c r="BF82">
        <v>0</v>
      </c>
      <c r="BY82" t="s">
        <v>604</v>
      </c>
      <c r="BZ82" t="s">
        <v>604</v>
      </c>
      <c r="CA82" t="s">
        <v>604</v>
      </c>
      <c r="CB82" t="s">
        <v>604</v>
      </c>
      <c r="CC82" t="s">
        <v>604</v>
      </c>
      <c r="CD82" t="s">
        <v>604</v>
      </c>
      <c r="CE82" t="s">
        <v>604</v>
      </c>
      <c r="CF82" t="s">
        <v>604</v>
      </c>
      <c r="CG82" t="s">
        <v>604</v>
      </c>
    </row>
    <row r="83" spans="1:164" x14ac:dyDescent="0.25">
      <c r="A83">
        <v>4</v>
      </c>
      <c r="B83" t="s">
        <v>164</v>
      </c>
      <c r="C83">
        <v>46</v>
      </c>
      <c r="D83">
        <v>4601</v>
      </c>
      <c r="E83">
        <v>974738643</v>
      </c>
      <c r="F83" t="s">
        <v>165</v>
      </c>
      <c r="G83" t="s">
        <v>166</v>
      </c>
      <c r="H83" t="s">
        <v>167</v>
      </c>
      <c r="I83" t="s">
        <v>1465</v>
      </c>
      <c r="J83" t="s">
        <v>1465</v>
      </c>
      <c r="K83" t="s">
        <v>1467</v>
      </c>
      <c r="P83" t="s">
        <v>171</v>
      </c>
      <c r="Q83" t="s">
        <v>604</v>
      </c>
      <c r="R83" t="s">
        <v>556</v>
      </c>
      <c r="T83" t="s">
        <v>588</v>
      </c>
      <c r="U83" t="s">
        <v>604</v>
      </c>
      <c r="V83" t="s">
        <v>556</v>
      </c>
      <c r="X83" t="s">
        <v>524</v>
      </c>
      <c r="Y83" t="s">
        <v>604</v>
      </c>
      <c r="Z83" t="s">
        <v>556</v>
      </c>
      <c r="AB83" t="s">
        <v>524</v>
      </c>
      <c r="AC83" t="s">
        <v>604</v>
      </c>
      <c r="AD83" t="s">
        <v>556</v>
      </c>
      <c r="AF83" t="s">
        <v>212</v>
      </c>
      <c r="AG83" t="s">
        <v>604</v>
      </c>
      <c r="AH83" t="s">
        <v>556</v>
      </c>
      <c r="AJ83" t="s">
        <v>170</v>
      </c>
      <c r="AK83" t="s">
        <v>775</v>
      </c>
      <c r="AL83" t="s">
        <v>1013</v>
      </c>
      <c r="AM83" t="s">
        <v>1441</v>
      </c>
      <c r="AN83" t="s">
        <v>504</v>
      </c>
      <c r="AO83" t="s">
        <v>1195</v>
      </c>
      <c r="AP83" t="s">
        <v>605</v>
      </c>
      <c r="AQ83" t="s">
        <v>1233</v>
      </c>
      <c r="AR83" t="s">
        <v>480</v>
      </c>
      <c r="AS83" t="s">
        <v>1466</v>
      </c>
      <c r="AT83" t="s">
        <v>1200</v>
      </c>
      <c r="AU83" t="s">
        <v>1013</v>
      </c>
      <c r="AV83" t="s">
        <v>580</v>
      </c>
      <c r="AW83" t="s">
        <v>574</v>
      </c>
      <c r="AX83" t="s">
        <v>1200</v>
      </c>
      <c r="AY83" t="s">
        <v>717</v>
      </c>
      <c r="AZ83" t="s">
        <v>504</v>
      </c>
      <c r="BA83" t="s">
        <v>1009</v>
      </c>
      <c r="BB83" t="s">
        <v>539</v>
      </c>
      <c r="BC83" t="s">
        <v>711</v>
      </c>
      <c r="BD83">
        <v>0</v>
      </c>
      <c r="BE83">
        <v>0</v>
      </c>
      <c r="BF83">
        <v>0</v>
      </c>
      <c r="BG83">
        <v>0</v>
      </c>
      <c r="BH83">
        <v>0</v>
      </c>
      <c r="CJ83" t="s">
        <v>556</v>
      </c>
      <c r="CM83" t="s">
        <v>556</v>
      </c>
      <c r="CP83" t="s">
        <v>556</v>
      </c>
      <c r="DR83" t="s">
        <v>604</v>
      </c>
      <c r="DS83" t="s">
        <v>604</v>
      </c>
      <c r="DT83" t="s">
        <v>604</v>
      </c>
      <c r="DU83" t="s">
        <v>604</v>
      </c>
      <c r="DV83" t="s">
        <v>604</v>
      </c>
      <c r="DW83" t="s">
        <v>604</v>
      </c>
      <c r="DX83" t="s">
        <v>604</v>
      </c>
      <c r="DY83" t="s">
        <v>604</v>
      </c>
      <c r="DZ83" t="s">
        <v>604</v>
      </c>
      <c r="FH83" t="s">
        <v>1467</v>
      </c>
    </row>
    <row r="84" spans="1:164" x14ac:dyDescent="0.25">
      <c r="A84">
        <v>4</v>
      </c>
      <c r="B84" t="s">
        <v>164</v>
      </c>
      <c r="C84">
        <v>46</v>
      </c>
      <c r="D84">
        <v>4601</v>
      </c>
      <c r="E84">
        <v>874738492</v>
      </c>
      <c r="F84" t="s">
        <v>165</v>
      </c>
      <c r="G84" t="s">
        <v>166</v>
      </c>
      <c r="H84" t="s">
        <v>167</v>
      </c>
      <c r="I84" t="s">
        <v>1468</v>
      </c>
      <c r="J84" t="s">
        <v>1468</v>
      </c>
      <c r="K84" t="s">
        <v>1472</v>
      </c>
      <c r="L84" t="s">
        <v>1197</v>
      </c>
      <c r="M84" t="s">
        <v>607</v>
      </c>
      <c r="N84" t="s">
        <v>731</v>
      </c>
      <c r="O84" t="s">
        <v>731</v>
      </c>
      <c r="P84" t="s">
        <v>1469</v>
      </c>
      <c r="Q84" t="s">
        <v>604</v>
      </c>
      <c r="R84" t="s">
        <v>481</v>
      </c>
      <c r="T84" t="s">
        <v>1470</v>
      </c>
      <c r="U84" t="s">
        <v>604</v>
      </c>
      <c r="V84" t="s">
        <v>502</v>
      </c>
      <c r="X84" t="s">
        <v>1164</v>
      </c>
      <c r="Y84" t="s">
        <v>508</v>
      </c>
      <c r="Z84" t="s">
        <v>505</v>
      </c>
      <c r="AB84" t="s">
        <v>977</v>
      </c>
      <c r="AC84" t="s">
        <v>502</v>
      </c>
      <c r="AD84" t="s">
        <v>473</v>
      </c>
      <c r="AF84" t="s">
        <v>1101</v>
      </c>
      <c r="AG84" t="s">
        <v>505</v>
      </c>
      <c r="AH84" t="s">
        <v>530</v>
      </c>
      <c r="AJ84" t="s">
        <v>529</v>
      </c>
      <c r="AK84" t="s">
        <v>1471</v>
      </c>
      <c r="AL84" t="s">
        <v>903</v>
      </c>
      <c r="AM84" t="s">
        <v>669</v>
      </c>
      <c r="AN84" t="s">
        <v>173</v>
      </c>
      <c r="AO84" t="s">
        <v>672</v>
      </c>
      <c r="AP84" t="s">
        <v>772</v>
      </c>
      <c r="AQ84" t="s">
        <v>301</v>
      </c>
      <c r="AR84" t="s">
        <v>529</v>
      </c>
      <c r="AS84" t="s">
        <v>1049</v>
      </c>
      <c r="AT84" t="s">
        <v>770</v>
      </c>
      <c r="AU84" t="s">
        <v>202</v>
      </c>
      <c r="AV84" t="s">
        <v>474</v>
      </c>
      <c r="AW84" t="s">
        <v>660</v>
      </c>
      <c r="AX84" t="s">
        <v>668</v>
      </c>
      <c r="AY84" t="s">
        <v>629</v>
      </c>
      <c r="AZ84" t="s">
        <v>533</v>
      </c>
      <c r="BA84" t="s">
        <v>982</v>
      </c>
      <c r="BB84" t="s">
        <v>986</v>
      </c>
      <c r="BC84" t="s">
        <v>208</v>
      </c>
      <c r="BD84">
        <v>1587</v>
      </c>
      <c r="BE84">
        <v>1563</v>
      </c>
      <c r="BF84">
        <v>1620</v>
      </c>
      <c r="BG84">
        <v>1593</v>
      </c>
      <c r="BH84">
        <v>1530</v>
      </c>
      <c r="BY84" t="s">
        <v>207</v>
      </c>
      <c r="BZ84" t="s">
        <v>486</v>
      </c>
      <c r="CA84" t="s">
        <v>524</v>
      </c>
      <c r="CD84" t="s">
        <v>556</v>
      </c>
      <c r="CE84" t="s">
        <v>207</v>
      </c>
      <c r="CF84" t="s">
        <v>202</v>
      </c>
      <c r="CG84" t="s">
        <v>209</v>
      </c>
      <c r="CH84" t="s">
        <v>281</v>
      </c>
      <c r="CI84" t="s">
        <v>630</v>
      </c>
      <c r="CJ84" t="s">
        <v>595</v>
      </c>
      <c r="CK84" t="s">
        <v>201</v>
      </c>
      <c r="CL84" t="s">
        <v>486</v>
      </c>
      <c r="CM84" t="s">
        <v>595</v>
      </c>
      <c r="CN84" t="s">
        <v>281</v>
      </c>
      <c r="CO84" t="s">
        <v>211</v>
      </c>
      <c r="CP84" t="s">
        <v>595</v>
      </c>
      <c r="CQ84" t="s">
        <v>281</v>
      </c>
      <c r="CR84" t="s">
        <v>557</v>
      </c>
      <c r="CS84" t="s">
        <v>171</v>
      </c>
      <c r="CT84" t="s">
        <v>207</v>
      </c>
      <c r="CU84" t="s">
        <v>494</v>
      </c>
      <c r="CV84" t="s">
        <v>595</v>
      </c>
      <c r="CW84" t="s">
        <v>174</v>
      </c>
      <c r="CX84" t="s">
        <v>557</v>
      </c>
      <c r="CY84" t="s">
        <v>171</v>
      </c>
      <c r="CZ84" t="s">
        <v>207</v>
      </c>
      <c r="DA84" t="s">
        <v>208</v>
      </c>
      <c r="DB84" t="s">
        <v>593</v>
      </c>
      <c r="DC84" t="s">
        <v>216</v>
      </c>
      <c r="DD84" t="s">
        <v>208</v>
      </c>
      <c r="DE84" t="s">
        <v>593</v>
      </c>
      <c r="DF84" t="s">
        <v>205</v>
      </c>
      <c r="DG84" t="s">
        <v>522</v>
      </c>
      <c r="DH84" t="s">
        <v>187</v>
      </c>
      <c r="FH84" t="s">
        <v>1472</v>
      </c>
    </row>
    <row r="85" spans="1:164" x14ac:dyDescent="0.25">
      <c r="A85">
        <v>4</v>
      </c>
      <c r="B85" t="s">
        <v>164</v>
      </c>
      <c r="C85">
        <v>46</v>
      </c>
      <c r="D85">
        <v>4601</v>
      </c>
      <c r="E85">
        <v>974738511</v>
      </c>
      <c r="F85" t="s">
        <v>165</v>
      </c>
      <c r="G85" t="s">
        <v>166</v>
      </c>
      <c r="H85" t="s">
        <v>167</v>
      </c>
      <c r="I85" t="s">
        <v>1473</v>
      </c>
      <c r="J85" t="s">
        <v>1473</v>
      </c>
      <c r="K85" t="s">
        <v>1480</v>
      </c>
      <c r="L85" t="s">
        <v>631</v>
      </c>
      <c r="M85" t="s">
        <v>631</v>
      </c>
      <c r="N85" t="s">
        <v>731</v>
      </c>
      <c r="O85" t="s">
        <v>731</v>
      </c>
      <c r="P85" t="s">
        <v>1474</v>
      </c>
      <c r="Q85" t="s">
        <v>612</v>
      </c>
      <c r="R85" t="s">
        <v>473</v>
      </c>
      <c r="T85" t="s">
        <v>1475</v>
      </c>
      <c r="U85" t="s">
        <v>179</v>
      </c>
      <c r="V85" t="s">
        <v>529</v>
      </c>
      <c r="X85" t="s">
        <v>1474</v>
      </c>
      <c r="Y85" t="s">
        <v>519</v>
      </c>
      <c r="Z85" t="s">
        <v>480</v>
      </c>
      <c r="AB85" t="s">
        <v>1476</v>
      </c>
      <c r="AC85" t="s">
        <v>501</v>
      </c>
      <c r="AD85" t="s">
        <v>529</v>
      </c>
      <c r="AF85" t="s">
        <v>1477</v>
      </c>
      <c r="AG85" t="s">
        <v>504</v>
      </c>
      <c r="AH85" t="s">
        <v>504</v>
      </c>
      <c r="AJ85" t="s">
        <v>215</v>
      </c>
      <c r="AK85" t="s">
        <v>1478</v>
      </c>
      <c r="AL85" t="s">
        <v>823</v>
      </c>
      <c r="AM85" t="s">
        <v>263</v>
      </c>
      <c r="AN85" t="s">
        <v>217</v>
      </c>
      <c r="AO85" t="s">
        <v>1038</v>
      </c>
      <c r="AP85" t="s">
        <v>1479</v>
      </c>
      <c r="AQ85" t="s">
        <v>550</v>
      </c>
      <c r="AR85" t="s">
        <v>217</v>
      </c>
      <c r="AS85" t="s">
        <v>1478</v>
      </c>
      <c r="AT85" t="s">
        <v>1201</v>
      </c>
      <c r="AU85" t="s">
        <v>965</v>
      </c>
      <c r="AV85" t="s">
        <v>217</v>
      </c>
      <c r="AW85" t="s">
        <v>1286</v>
      </c>
      <c r="AX85" t="s">
        <v>949</v>
      </c>
      <c r="AY85" t="s">
        <v>626</v>
      </c>
      <c r="AZ85" t="s">
        <v>209</v>
      </c>
      <c r="BA85" t="s">
        <v>1093</v>
      </c>
      <c r="BB85" t="s">
        <v>831</v>
      </c>
      <c r="BC85" t="s">
        <v>797</v>
      </c>
      <c r="BD85">
        <v>1546</v>
      </c>
      <c r="BE85">
        <v>1623</v>
      </c>
      <c r="BF85">
        <v>1696</v>
      </c>
      <c r="BG85">
        <v>1655</v>
      </c>
      <c r="BH85">
        <v>1698</v>
      </c>
      <c r="BY85" t="s">
        <v>174</v>
      </c>
      <c r="BZ85" t="s">
        <v>644</v>
      </c>
      <c r="CA85" t="s">
        <v>1029</v>
      </c>
      <c r="CB85" t="s">
        <v>174</v>
      </c>
      <c r="CC85" t="s">
        <v>497</v>
      </c>
      <c r="CD85" t="s">
        <v>1029</v>
      </c>
      <c r="CE85" t="s">
        <v>174</v>
      </c>
      <c r="CF85" t="s">
        <v>495</v>
      </c>
      <c r="CG85" t="s">
        <v>1027</v>
      </c>
      <c r="CH85" t="s">
        <v>207</v>
      </c>
      <c r="CI85" t="s">
        <v>213</v>
      </c>
      <c r="CJ85" t="s">
        <v>687</v>
      </c>
      <c r="CK85" t="s">
        <v>281</v>
      </c>
      <c r="CL85" t="s">
        <v>301</v>
      </c>
      <c r="CM85" t="s">
        <v>687</v>
      </c>
      <c r="CN85" t="s">
        <v>216</v>
      </c>
      <c r="CO85" t="s">
        <v>301</v>
      </c>
      <c r="CP85" t="s">
        <v>683</v>
      </c>
      <c r="CQ85" t="s">
        <v>174</v>
      </c>
      <c r="CR85" t="s">
        <v>214</v>
      </c>
      <c r="CS85" t="s">
        <v>727</v>
      </c>
      <c r="CT85" t="s">
        <v>216</v>
      </c>
      <c r="CU85" t="s">
        <v>301</v>
      </c>
      <c r="CV85" t="s">
        <v>728</v>
      </c>
      <c r="CW85" t="s">
        <v>177</v>
      </c>
      <c r="CX85" t="s">
        <v>644</v>
      </c>
      <c r="CY85" t="s">
        <v>727</v>
      </c>
      <c r="CZ85" t="s">
        <v>177</v>
      </c>
      <c r="DA85" t="s">
        <v>644</v>
      </c>
      <c r="DB85" t="s">
        <v>684</v>
      </c>
      <c r="DC85" t="s">
        <v>177</v>
      </c>
      <c r="DD85" t="s">
        <v>558</v>
      </c>
      <c r="DE85" t="s">
        <v>689</v>
      </c>
      <c r="DF85" t="s">
        <v>216</v>
      </c>
      <c r="DG85" t="s">
        <v>644</v>
      </c>
      <c r="DH85" t="s">
        <v>689</v>
      </c>
      <c r="FH85" t="s">
        <v>1480</v>
      </c>
    </row>
    <row r="86" spans="1:164" x14ac:dyDescent="0.25">
      <c r="A86">
        <v>4</v>
      </c>
      <c r="B86" t="s">
        <v>164</v>
      </c>
      <c r="C86">
        <v>46</v>
      </c>
      <c r="D86">
        <v>4601</v>
      </c>
      <c r="E86">
        <v>974738422</v>
      </c>
      <c r="F86" t="s">
        <v>165</v>
      </c>
      <c r="G86" t="s">
        <v>166</v>
      </c>
      <c r="H86" t="s">
        <v>167</v>
      </c>
      <c r="I86" t="s">
        <v>1481</v>
      </c>
      <c r="J86" t="s">
        <v>1481</v>
      </c>
      <c r="K86" t="s">
        <v>1484</v>
      </c>
      <c r="L86" t="s">
        <v>989</v>
      </c>
      <c r="M86" t="s">
        <v>742</v>
      </c>
      <c r="N86" t="s">
        <v>604</v>
      </c>
      <c r="O86" t="s">
        <v>604</v>
      </c>
      <c r="P86" t="s">
        <v>1165</v>
      </c>
      <c r="Q86" t="s">
        <v>170</v>
      </c>
      <c r="R86" t="s">
        <v>187</v>
      </c>
      <c r="T86" t="s">
        <v>1482</v>
      </c>
      <c r="U86" t="s">
        <v>476</v>
      </c>
      <c r="V86" t="s">
        <v>588</v>
      </c>
      <c r="X86" t="s">
        <v>1483</v>
      </c>
      <c r="Y86" t="s">
        <v>170</v>
      </c>
      <c r="Z86" t="s">
        <v>593</v>
      </c>
      <c r="AB86" t="s">
        <v>614</v>
      </c>
      <c r="AC86" t="s">
        <v>501</v>
      </c>
      <c r="AD86" t="s">
        <v>182</v>
      </c>
      <c r="AF86" t="s">
        <v>933</v>
      </c>
      <c r="AG86" t="s">
        <v>580</v>
      </c>
      <c r="AH86" t="s">
        <v>519</v>
      </c>
      <c r="AJ86" t="s">
        <v>512</v>
      </c>
      <c r="AK86" t="s">
        <v>518</v>
      </c>
      <c r="AL86" t="s">
        <v>984</v>
      </c>
      <c r="AM86" t="s">
        <v>598</v>
      </c>
      <c r="AN86" t="s">
        <v>519</v>
      </c>
      <c r="AO86" t="s">
        <v>1150</v>
      </c>
      <c r="AP86" t="s">
        <v>714</v>
      </c>
      <c r="AQ86" t="s">
        <v>598</v>
      </c>
      <c r="AR86" t="s">
        <v>533</v>
      </c>
      <c r="AS86" t="s">
        <v>657</v>
      </c>
      <c r="AT86" t="s">
        <v>805</v>
      </c>
      <c r="AU86" t="s">
        <v>389</v>
      </c>
      <c r="AV86" t="s">
        <v>173</v>
      </c>
      <c r="AW86" t="s">
        <v>986</v>
      </c>
      <c r="AX86" t="s">
        <v>1012</v>
      </c>
      <c r="AY86" t="s">
        <v>800</v>
      </c>
      <c r="AZ86" t="s">
        <v>473</v>
      </c>
      <c r="BA86" t="s">
        <v>621</v>
      </c>
      <c r="BB86" t="s">
        <v>903</v>
      </c>
      <c r="BC86" t="s">
        <v>263</v>
      </c>
      <c r="BD86">
        <v>1454</v>
      </c>
      <c r="BE86">
        <v>1490</v>
      </c>
      <c r="BF86">
        <v>1650</v>
      </c>
      <c r="BG86">
        <v>1483</v>
      </c>
      <c r="BH86">
        <v>1521</v>
      </c>
      <c r="BY86" t="s">
        <v>281</v>
      </c>
      <c r="BZ86" t="s">
        <v>486</v>
      </c>
      <c r="CA86" t="s">
        <v>612</v>
      </c>
      <c r="CB86" t="s">
        <v>207</v>
      </c>
      <c r="CC86" t="s">
        <v>213</v>
      </c>
      <c r="CD86" t="s">
        <v>612</v>
      </c>
      <c r="CE86" t="s">
        <v>210</v>
      </c>
      <c r="CF86" t="s">
        <v>206</v>
      </c>
      <c r="CG86" t="s">
        <v>612</v>
      </c>
      <c r="CH86" t="s">
        <v>281</v>
      </c>
      <c r="CI86" t="s">
        <v>186</v>
      </c>
      <c r="CJ86" t="s">
        <v>512</v>
      </c>
      <c r="CK86" t="s">
        <v>216</v>
      </c>
      <c r="CL86" t="s">
        <v>202</v>
      </c>
      <c r="CM86" t="s">
        <v>533</v>
      </c>
      <c r="CN86" t="s">
        <v>281</v>
      </c>
      <c r="CO86" t="s">
        <v>494</v>
      </c>
      <c r="CP86" t="s">
        <v>512</v>
      </c>
      <c r="CQ86" t="s">
        <v>281</v>
      </c>
      <c r="CR86" t="s">
        <v>202</v>
      </c>
      <c r="CS86" t="s">
        <v>187</v>
      </c>
      <c r="CT86" t="s">
        <v>216</v>
      </c>
      <c r="CU86" t="s">
        <v>486</v>
      </c>
      <c r="CV86" t="s">
        <v>187</v>
      </c>
      <c r="CW86" t="s">
        <v>281</v>
      </c>
      <c r="CX86" t="s">
        <v>211</v>
      </c>
      <c r="CY86" t="s">
        <v>187</v>
      </c>
      <c r="CZ86" t="s">
        <v>205</v>
      </c>
      <c r="DA86" t="s">
        <v>494</v>
      </c>
      <c r="DB86" t="s">
        <v>593</v>
      </c>
      <c r="DC86" t="s">
        <v>216</v>
      </c>
      <c r="DD86" t="s">
        <v>213</v>
      </c>
      <c r="DE86" t="s">
        <v>593</v>
      </c>
      <c r="DF86" t="s">
        <v>496</v>
      </c>
      <c r="DG86" t="s">
        <v>557</v>
      </c>
      <c r="DH86" t="s">
        <v>195</v>
      </c>
      <c r="FH86" t="s">
        <v>1484</v>
      </c>
    </row>
    <row r="87" spans="1:164" x14ac:dyDescent="0.25">
      <c r="A87">
        <v>4</v>
      </c>
      <c r="B87" t="s">
        <v>164</v>
      </c>
      <c r="C87">
        <v>46</v>
      </c>
      <c r="D87">
        <v>4601</v>
      </c>
      <c r="E87">
        <v>974737973</v>
      </c>
      <c r="F87" t="s">
        <v>165</v>
      </c>
      <c r="G87" t="s">
        <v>166</v>
      </c>
      <c r="H87" t="s">
        <v>167</v>
      </c>
      <c r="I87" t="s">
        <v>1485</v>
      </c>
      <c r="J87" t="s">
        <v>1485</v>
      </c>
      <c r="K87" t="s">
        <v>1489</v>
      </c>
      <c r="L87" t="s">
        <v>773</v>
      </c>
      <c r="M87" t="s">
        <v>1118</v>
      </c>
      <c r="N87" t="s">
        <v>650</v>
      </c>
      <c r="O87" t="s">
        <v>604</v>
      </c>
      <c r="P87" t="s">
        <v>925</v>
      </c>
      <c r="Q87" t="s">
        <v>505</v>
      </c>
      <c r="R87" t="s">
        <v>519</v>
      </c>
      <c r="T87" t="s">
        <v>697</v>
      </c>
      <c r="U87" t="s">
        <v>608</v>
      </c>
      <c r="V87" t="s">
        <v>612</v>
      </c>
      <c r="X87" t="s">
        <v>1486</v>
      </c>
      <c r="Y87" t="s">
        <v>505</v>
      </c>
      <c r="Z87" t="s">
        <v>182</v>
      </c>
      <c r="AB87" t="s">
        <v>1486</v>
      </c>
      <c r="AC87" t="s">
        <v>501</v>
      </c>
      <c r="AD87" t="s">
        <v>512</v>
      </c>
      <c r="AF87" t="s">
        <v>320</v>
      </c>
      <c r="AG87" t="s">
        <v>580</v>
      </c>
      <c r="AH87" t="s">
        <v>505</v>
      </c>
      <c r="AJ87" t="s">
        <v>593</v>
      </c>
      <c r="AK87" t="s">
        <v>1487</v>
      </c>
      <c r="AL87" t="s">
        <v>490</v>
      </c>
      <c r="AM87" t="s">
        <v>495</v>
      </c>
      <c r="AN87" t="s">
        <v>489</v>
      </c>
      <c r="AO87" t="s">
        <v>492</v>
      </c>
      <c r="AP87" t="s">
        <v>801</v>
      </c>
      <c r="AQ87" t="s">
        <v>214</v>
      </c>
      <c r="AR87" t="s">
        <v>176</v>
      </c>
      <c r="AS87" t="s">
        <v>783</v>
      </c>
      <c r="AT87" t="s">
        <v>1112</v>
      </c>
      <c r="AU87" t="s">
        <v>301</v>
      </c>
      <c r="AV87" t="s">
        <v>187</v>
      </c>
      <c r="AW87" t="s">
        <v>487</v>
      </c>
      <c r="AX87" t="s">
        <v>1488</v>
      </c>
      <c r="AY87" t="s">
        <v>495</v>
      </c>
      <c r="AZ87" t="s">
        <v>179</v>
      </c>
      <c r="BA87" t="s">
        <v>927</v>
      </c>
      <c r="BB87" t="s">
        <v>184</v>
      </c>
      <c r="BC87" t="s">
        <v>495</v>
      </c>
      <c r="BD87">
        <v>1548</v>
      </c>
      <c r="BE87">
        <v>1626</v>
      </c>
      <c r="BF87">
        <v>1636</v>
      </c>
      <c r="BG87">
        <v>1613</v>
      </c>
      <c r="BH87">
        <v>1599</v>
      </c>
      <c r="BY87" t="s">
        <v>207</v>
      </c>
      <c r="BZ87" t="s">
        <v>202</v>
      </c>
      <c r="CA87" t="s">
        <v>201</v>
      </c>
      <c r="CB87" t="s">
        <v>215</v>
      </c>
      <c r="CC87" t="s">
        <v>494</v>
      </c>
      <c r="CD87" t="s">
        <v>496</v>
      </c>
      <c r="CE87" t="s">
        <v>215</v>
      </c>
      <c r="CF87" t="s">
        <v>204</v>
      </c>
      <c r="CG87" t="s">
        <v>496</v>
      </c>
      <c r="CH87" t="s">
        <v>207</v>
      </c>
      <c r="CI87" t="s">
        <v>494</v>
      </c>
      <c r="CJ87" t="s">
        <v>201</v>
      </c>
      <c r="CK87" t="s">
        <v>183</v>
      </c>
      <c r="CL87" t="s">
        <v>494</v>
      </c>
      <c r="CM87" t="s">
        <v>281</v>
      </c>
      <c r="CN87" t="s">
        <v>205</v>
      </c>
      <c r="CO87" t="s">
        <v>204</v>
      </c>
      <c r="CP87" t="s">
        <v>201</v>
      </c>
      <c r="CQ87" t="s">
        <v>281</v>
      </c>
      <c r="CR87" t="s">
        <v>494</v>
      </c>
      <c r="CS87" t="s">
        <v>210</v>
      </c>
      <c r="CT87" t="s">
        <v>281</v>
      </c>
      <c r="CU87" t="s">
        <v>214</v>
      </c>
      <c r="CV87" t="s">
        <v>210</v>
      </c>
      <c r="CW87" t="s">
        <v>177</v>
      </c>
      <c r="CX87" t="s">
        <v>495</v>
      </c>
      <c r="CY87" t="s">
        <v>210</v>
      </c>
      <c r="CZ87" t="s">
        <v>281</v>
      </c>
      <c r="DA87" t="s">
        <v>213</v>
      </c>
      <c r="DB87" t="s">
        <v>1027</v>
      </c>
      <c r="DC87" t="s">
        <v>177</v>
      </c>
      <c r="DD87" t="s">
        <v>495</v>
      </c>
      <c r="DE87" t="s">
        <v>1027</v>
      </c>
      <c r="DF87" t="s">
        <v>207</v>
      </c>
      <c r="DG87" t="s">
        <v>644</v>
      </c>
      <c r="DH87" t="s">
        <v>1027</v>
      </c>
      <c r="FH87" t="s">
        <v>1489</v>
      </c>
    </row>
    <row r="88" spans="1:164" x14ac:dyDescent="0.25">
      <c r="A88">
        <v>4</v>
      </c>
      <c r="B88" t="s">
        <v>164</v>
      </c>
      <c r="C88">
        <v>46</v>
      </c>
      <c r="D88">
        <v>4601</v>
      </c>
      <c r="E88">
        <v>974738139</v>
      </c>
      <c r="F88" t="s">
        <v>165</v>
      </c>
      <c r="G88" t="s">
        <v>166</v>
      </c>
      <c r="H88" t="s">
        <v>167</v>
      </c>
      <c r="I88" t="s">
        <v>1490</v>
      </c>
      <c r="J88" t="s">
        <v>1490</v>
      </c>
      <c r="K88" t="s">
        <v>1492</v>
      </c>
      <c r="L88" t="s">
        <v>989</v>
      </c>
      <c r="M88" t="s">
        <v>989</v>
      </c>
      <c r="N88" t="s">
        <v>731</v>
      </c>
      <c r="O88" t="s">
        <v>731</v>
      </c>
      <c r="P88" t="s">
        <v>1143</v>
      </c>
      <c r="Q88" t="s">
        <v>580</v>
      </c>
      <c r="R88" t="s">
        <v>588</v>
      </c>
      <c r="T88" t="s">
        <v>1127</v>
      </c>
      <c r="U88" t="s">
        <v>505</v>
      </c>
      <c r="V88" t="s">
        <v>600</v>
      </c>
      <c r="X88" t="s">
        <v>933</v>
      </c>
      <c r="Y88" t="s">
        <v>504</v>
      </c>
      <c r="Z88" t="s">
        <v>586</v>
      </c>
      <c r="AB88" t="s">
        <v>1491</v>
      </c>
      <c r="AC88" t="s">
        <v>501</v>
      </c>
      <c r="AD88" t="s">
        <v>678</v>
      </c>
      <c r="AF88" t="s">
        <v>1069</v>
      </c>
      <c r="AG88" t="s">
        <v>480</v>
      </c>
      <c r="AH88" t="s">
        <v>732</v>
      </c>
      <c r="AJ88" t="s">
        <v>474</v>
      </c>
      <c r="AK88" t="s">
        <v>1073</v>
      </c>
      <c r="AL88" t="s">
        <v>715</v>
      </c>
      <c r="AM88" t="s">
        <v>206</v>
      </c>
      <c r="AN88" t="s">
        <v>173</v>
      </c>
      <c r="AO88" t="s">
        <v>657</v>
      </c>
      <c r="AP88" t="s">
        <v>1072</v>
      </c>
      <c r="AQ88" t="s">
        <v>213</v>
      </c>
      <c r="AR88" t="s">
        <v>173</v>
      </c>
      <c r="AS88" t="s">
        <v>984</v>
      </c>
      <c r="AT88" t="s">
        <v>1471</v>
      </c>
      <c r="AU88" t="s">
        <v>598</v>
      </c>
      <c r="AV88" t="s">
        <v>533</v>
      </c>
      <c r="AW88" t="s">
        <v>511</v>
      </c>
      <c r="AX88" t="s">
        <v>1167</v>
      </c>
      <c r="AY88" t="s">
        <v>631</v>
      </c>
      <c r="AZ88" t="s">
        <v>512</v>
      </c>
      <c r="BA88" t="s">
        <v>1166</v>
      </c>
      <c r="BB88" t="s">
        <v>1104</v>
      </c>
      <c r="BC88" t="s">
        <v>522</v>
      </c>
      <c r="BD88">
        <v>1620</v>
      </c>
      <c r="BE88">
        <v>1572</v>
      </c>
      <c r="BF88">
        <v>1485</v>
      </c>
      <c r="BG88">
        <v>1531</v>
      </c>
      <c r="BH88">
        <v>1374</v>
      </c>
      <c r="BY88" t="s">
        <v>496</v>
      </c>
      <c r="BZ88" t="s">
        <v>494</v>
      </c>
      <c r="CA88" t="s">
        <v>593</v>
      </c>
      <c r="CB88" t="s">
        <v>183</v>
      </c>
      <c r="CC88" t="s">
        <v>497</v>
      </c>
      <c r="CD88" t="s">
        <v>595</v>
      </c>
      <c r="CE88" t="s">
        <v>496</v>
      </c>
      <c r="CF88" t="s">
        <v>211</v>
      </c>
      <c r="CG88" t="s">
        <v>595</v>
      </c>
      <c r="CH88" t="s">
        <v>496</v>
      </c>
      <c r="CI88" t="s">
        <v>198</v>
      </c>
      <c r="CJ88" t="s">
        <v>182</v>
      </c>
      <c r="CK88" t="s">
        <v>496</v>
      </c>
      <c r="CL88" t="s">
        <v>522</v>
      </c>
      <c r="CM88" t="s">
        <v>519</v>
      </c>
      <c r="CN88" t="s">
        <v>201</v>
      </c>
      <c r="CO88" t="s">
        <v>486</v>
      </c>
      <c r="CP88" t="s">
        <v>612</v>
      </c>
      <c r="CQ88" t="s">
        <v>201</v>
      </c>
      <c r="CR88" t="s">
        <v>522</v>
      </c>
      <c r="CS88" t="s">
        <v>512</v>
      </c>
      <c r="CT88" t="s">
        <v>177</v>
      </c>
      <c r="CU88" t="s">
        <v>630</v>
      </c>
      <c r="CV88" t="s">
        <v>512</v>
      </c>
      <c r="CW88" t="s">
        <v>281</v>
      </c>
      <c r="CX88" t="s">
        <v>630</v>
      </c>
      <c r="CY88" t="s">
        <v>512</v>
      </c>
      <c r="CZ88" t="s">
        <v>496</v>
      </c>
      <c r="DA88" t="s">
        <v>637</v>
      </c>
      <c r="DB88" t="s">
        <v>474</v>
      </c>
      <c r="DC88" t="s">
        <v>205</v>
      </c>
      <c r="DD88" t="s">
        <v>208</v>
      </c>
      <c r="DE88" t="s">
        <v>474</v>
      </c>
      <c r="DF88" t="s">
        <v>600</v>
      </c>
      <c r="DG88" t="s">
        <v>213</v>
      </c>
      <c r="DH88" t="s">
        <v>512</v>
      </c>
      <c r="FH88" t="s">
        <v>1492</v>
      </c>
    </row>
    <row r="89" spans="1:164" x14ac:dyDescent="0.25">
      <c r="I89" t="s">
        <v>1493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6"/>
  <sheetViews>
    <sheetView workbookViewId="0">
      <selection activeCell="I1" sqref="I1"/>
    </sheetView>
  </sheetViews>
  <sheetFormatPr defaultRowHeight="16.5" x14ac:dyDescent="0.25"/>
  <cols>
    <col min="1" max="1" width="29.875" bestFit="1" customWidth="1"/>
    <col min="2" max="2" width="29.875" customWidth="1"/>
    <col min="3" max="3" width="9.75" bestFit="1" customWidth="1"/>
    <col min="4" max="4" width="13.875" bestFit="1" customWidth="1"/>
    <col min="5" max="5" width="45.5" bestFit="1" customWidth="1"/>
    <col min="6" max="6" width="12.125" bestFit="1" customWidth="1"/>
    <col min="7" max="7" width="54.5" bestFit="1" customWidth="1"/>
    <col min="8" max="8" width="50" bestFit="1" customWidth="1"/>
    <col min="9" max="9" width="54.375" bestFit="1" customWidth="1"/>
    <col min="10" max="10" width="34" customWidth="1"/>
  </cols>
  <sheetData>
    <row r="1" spans="1:10" x14ac:dyDescent="0.25">
      <c r="A1" t="s">
        <v>1553</v>
      </c>
      <c r="B1" t="s">
        <v>9</v>
      </c>
      <c r="C1" t="s">
        <v>6</v>
      </c>
      <c r="D1" t="s">
        <v>7</v>
      </c>
      <c r="F1" t="s">
        <v>11</v>
      </c>
      <c r="G1" t="s">
        <v>12</v>
      </c>
      <c r="H1" t="s">
        <v>13</v>
      </c>
      <c r="I1" t="s">
        <v>14</v>
      </c>
      <c r="J1" t="s">
        <v>163</v>
      </c>
    </row>
    <row r="2" spans="1:10" x14ac:dyDescent="0.25">
      <c r="A2" t="s">
        <v>221</v>
      </c>
      <c r="B2" t="str">
        <f t="shared" ref="B2:B33" si="0">TRIM(A2)</f>
        <v>Alle skoler</v>
      </c>
      <c r="C2" t="s">
        <v>219</v>
      </c>
      <c r="D2" t="s">
        <v>220</v>
      </c>
      <c r="E2" t="str">
        <f t="shared" ref="E2:E33" si="1">C2&amp;D2&amp;B2</f>
        <v>Alle fylkerAlle kommunerAlle skoler</v>
      </c>
      <c r="F2" t="s">
        <v>539</v>
      </c>
      <c r="G2" t="s">
        <v>1091</v>
      </c>
      <c r="H2" t="s">
        <v>566</v>
      </c>
      <c r="I2" t="s">
        <v>598</v>
      </c>
    </row>
    <row r="3" spans="1:10" x14ac:dyDescent="0.25">
      <c r="A3" t="s">
        <v>221</v>
      </c>
      <c r="B3" t="str">
        <f t="shared" si="0"/>
        <v>Alle skoler</v>
      </c>
      <c r="C3" t="s">
        <v>166</v>
      </c>
      <c r="D3" t="s">
        <v>220</v>
      </c>
      <c r="E3" t="str">
        <f t="shared" si="1"/>
        <v>VestlandAlle kommunerAlle skoler</v>
      </c>
      <c r="F3" t="s">
        <v>1200</v>
      </c>
      <c r="G3" t="s">
        <v>1344</v>
      </c>
      <c r="H3" t="s">
        <v>301</v>
      </c>
      <c r="I3" t="s">
        <v>630</v>
      </c>
    </row>
    <row r="4" spans="1:10" x14ac:dyDescent="0.25">
      <c r="A4" t="s">
        <v>221</v>
      </c>
      <c r="B4" t="str">
        <f t="shared" si="0"/>
        <v>Alle skoler</v>
      </c>
      <c r="C4" t="s">
        <v>166</v>
      </c>
      <c r="D4" t="s">
        <v>167</v>
      </c>
      <c r="E4" t="str">
        <f t="shared" si="1"/>
        <v>VestlandBergenAlle skoler</v>
      </c>
      <c r="F4" t="s">
        <v>1200</v>
      </c>
      <c r="G4" t="s">
        <v>607</v>
      </c>
      <c r="H4" t="s">
        <v>566</v>
      </c>
      <c r="I4" t="s">
        <v>598</v>
      </c>
    </row>
    <row r="5" spans="1:10" x14ac:dyDescent="0.25">
      <c r="A5" s="1" t="s">
        <v>1554</v>
      </c>
      <c r="B5" t="str">
        <f t="shared" si="0"/>
        <v>Alvøen skole</v>
      </c>
      <c r="C5" t="s">
        <v>166</v>
      </c>
      <c r="D5" t="s">
        <v>167</v>
      </c>
      <c r="E5" t="str">
        <f t="shared" si="1"/>
        <v>VestlandBergenAlvøen skole</v>
      </c>
      <c r="F5" t="s">
        <v>965</v>
      </c>
      <c r="G5" t="s">
        <v>965</v>
      </c>
      <c r="H5" t="s">
        <v>731</v>
      </c>
      <c r="I5" t="s">
        <v>604</v>
      </c>
      <c r="J5" t="s">
        <v>498</v>
      </c>
    </row>
    <row r="6" spans="1:10" x14ac:dyDescent="0.25">
      <c r="A6" t="s">
        <v>1555</v>
      </c>
      <c r="B6" t="str">
        <f t="shared" si="0"/>
        <v>Apeltun skole</v>
      </c>
      <c r="C6" t="s">
        <v>166</v>
      </c>
      <c r="D6" t="s">
        <v>167</v>
      </c>
      <c r="E6" t="str">
        <f t="shared" si="1"/>
        <v>VestlandBergenApeltun skole</v>
      </c>
      <c r="F6" t="s">
        <v>716</v>
      </c>
      <c r="G6" t="s">
        <v>604</v>
      </c>
      <c r="H6" t="s">
        <v>604</v>
      </c>
      <c r="I6" t="s">
        <v>604</v>
      </c>
      <c r="J6" t="s">
        <v>526</v>
      </c>
    </row>
    <row r="7" spans="1:10" x14ac:dyDescent="0.25">
      <c r="A7" t="s">
        <v>1556</v>
      </c>
      <c r="B7" t="str">
        <f t="shared" si="0"/>
        <v>Aurdalslia skole</v>
      </c>
      <c r="C7" t="s">
        <v>166</v>
      </c>
      <c r="D7" t="s">
        <v>167</v>
      </c>
      <c r="E7" t="str">
        <f t="shared" si="1"/>
        <v>VestlandBergenAurdalslia skole</v>
      </c>
      <c r="F7" t="s">
        <v>598</v>
      </c>
      <c r="G7" t="s">
        <v>604</v>
      </c>
      <c r="H7" t="s">
        <v>731</v>
      </c>
      <c r="I7" t="s">
        <v>604</v>
      </c>
      <c r="J7" t="s">
        <v>602</v>
      </c>
    </row>
    <row r="8" spans="1:10" x14ac:dyDescent="0.25">
      <c r="A8" t="s">
        <v>1557</v>
      </c>
      <c r="B8" t="str">
        <f t="shared" si="0"/>
        <v>Bergen Kristne grunn skole</v>
      </c>
      <c r="C8" t="s">
        <v>166</v>
      </c>
      <c r="D8" t="s">
        <v>167</v>
      </c>
      <c r="E8" t="str">
        <f t="shared" si="1"/>
        <v>VestlandBergenBergen Kristne grunn skole</v>
      </c>
      <c r="F8" t="s">
        <v>604</v>
      </c>
      <c r="G8" t="s">
        <v>604</v>
      </c>
      <c r="H8" t="s">
        <v>731</v>
      </c>
      <c r="I8" t="s">
        <v>731</v>
      </c>
      <c r="J8" t="s">
        <v>636</v>
      </c>
    </row>
    <row r="9" spans="1:10" x14ac:dyDescent="0.25">
      <c r="A9" s="2" t="s">
        <v>1558</v>
      </c>
      <c r="B9" t="str">
        <f t="shared" si="0"/>
        <v>Bjørgvin montessoriskole</v>
      </c>
      <c r="C9" t="s">
        <v>166</v>
      </c>
      <c r="D9" t="s">
        <v>167</v>
      </c>
      <c r="E9" t="str">
        <f t="shared" si="1"/>
        <v>VestlandBergenBjørgvin montessoriskole</v>
      </c>
      <c r="F9" t="s">
        <v>604</v>
      </c>
      <c r="G9" t="s">
        <v>604</v>
      </c>
      <c r="H9" t="s">
        <v>731</v>
      </c>
      <c r="I9" t="s">
        <v>731</v>
      </c>
      <c r="J9" t="s">
        <v>653</v>
      </c>
    </row>
    <row r="10" spans="1:10" x14ac:dyDescent="0.25">
      <c r="A10" s="1" t="s">
        <v>1559</v>
      </c>
      <c r="B10" t="str">
        <f t="shared" si="0"/>
        <v>Bjørndalsskogen skole</v>
      </c>
      <c r="C10" t="s">
        <v>166</v>
      </c>
      <c r="D10" t="s">
        <v>167</v>
      </c>
      <c r="E10" t="str">
        <f t="shared" si="1"/>
        <v>VestlandBergenBjørndalsskogen skole</v>
      </c>
      <c r="F10" t="s">
        <v>213</v>
      </c>
      <c r="G10" t="s">
        <v>604</v>
      </c>
      <c r="H10" t="s">
        <v>731</v>
      </c>
      <c r="I10" t="s">
        <v>618</v>
      </c>
      <c r="J10" t="s">
        <v>661</v>
      </c>
    </row>
    <row r="11" spans="1:10" x14ac:dyDescent="0.25">
      <c r="A11" s="2" t="s">
        <v>1560</v>
      </c>
      <c r="B11" t="str">
        <f t="shared" si="0"/>
        <v>Bønes skole</v>
      </c>
      <c r="C11" t="s">
        <v>166</v>
      </c>
      <c r="D11" t="s">
        <v>167</v>
      </c>
      <c r="E11" t="str">
        <f t="shared" si="1"/>
        <v>VestlandBergenBønes skole</v>
      </c>
      <c r="F11" t="s">
        <v>998</v>
      </c>
      <c r="G11" t="s">
        <v>998</v>
      </c>
      <c r="H11" t="s">
        <v>731</v>
      </c>
      <c r="I11" t="s">
        <v>604</v>
      </c>
      <c r="J11" t="s">
        <v>704</v>
      </c>
    </row>
    <row r="12" spans="1:10" x14ac:dyDescent="0.25">
      <c r="A12" t="s">
        <v>735</v>
      </c>
      <c r="B12" t="str">
        <f t="shared" si="0"/>
        <v>Christi Krybbe Skoler</v>
      </c>
      <c r="C12" t="s">
        <v>166</v>
      </c>
      <c r="D12" t="s">
        <v>167</v>
      </c>
      <c r="E12" t="str">
        <f t="shared" si="1"/>
        <v>VestlandBergenChristi Krybbe Skoler</v>
      </c>
      <c r="F12" t="s">
        <v>604</v>
      </c>
      <c r="G12" t="s">
        <v>604</v>
      </c>
      <c r="H12" t="s">
        <v>731</v>
      </c>
      <c r="I12" t="s">
        <v>604</v>
      </c>
      <c r="J12" t="s">
        <v>747</v>
      </c>
    </row>
    <row r="13" spans="1:10" x14ac:dyDescent="0.25">
      <c r="A13" s="2" t="s">
        <v>1561</v>
      </c>
      <c r="B13" t="str">
        <f t="shared" si="0"/>
        <v>Damsgård skole</v>
      </c>
      <c r="C13" t="s">
        <v>166</v>
      </c>
      <c r="D13" t="s">
        <v>167</v>
      </c>
      <c r="E13" t="str">
        <f t="shared" si="1"/>
        <v>VestlandBergenDamsgård skole</v>
      </c>
      <c r="F13" t="s">
        <v>658</v>
      </c>
      <c r="G13" t="s">
        <v>622</v>
      </c>
      <c r="H13" t="s">
        <v>1343</v>
      </c>
      <c r="I13" t="s">
        <v>950</v>
      </c>
      <c r="J13" t="s">
        <v>764</v>
      </c>
    </row>
    <row r="14" spans="1:10" x14ac:dyDescent="0.25">
      <c r="A14" s="1" t="s">
        <v>1562</v>
      </c>
      <c r="B14" t="str">
        <f t="shared" si="0"/>
        <v>Eidsvåg skole</v>
      </c>
      <c r="C14" t="s">
        <v>166</v>
      </c>
      <c r="D14" t="s">
        <v>167</v>
      </c>
      <c r="E14" t="str">
        <f t="shared" si="1"/>
        <v>VestlandBergenEidsvåg skole</v>
      </c>
      <c r="F14" t="s">
        <v>829</v>
      </c>
      <c r="G14" t="s">
        <v>604</v>
      </c>
      <c r="H14" t="s">
        <v>731</v>
      </c>
      <c r="I14" t="s">
        <v>731</v>
      </c>
      <c r="J14" t="s">
        <v>777</v>
      </c>
    </row>
    <row r="15" spans="1:10" x14ac:dyDescent="0.25">
      <c r="A15" t="s">
        <v>1563</v>
      </c>
      <c r="B15" t="str">
        <f t="shared" si="0"/>
        <v>Fjellsdalen skole</v>
      </c>
      <c r="C15" t="s">
        <v>166</v>
      </c>
      <c r="D15" t="s">
        <v>167</v>
      </c>
      <c r="E15" t="str">
        <f t="shared" si="1"/>
        <v>VestlandBergenFjellsdalen skole</v>
      </c>
      <c r="F15" t="s">
        <v>305</v>
      </c>
      <c r="G15" t="s">
        <v>389</v>
      </c>
      <c r="H15" t="s">
        <v>604</v>
      </c>
      <c r="I15" t="s">
        <v>194</v>
      </c>
      <c r="J15" t="s">
        <v>788</v>
      </c>
    </row>
    <row r="16" spans="1:10" x14ac:dyDescent="0.25">
      <c r="A16" t="s">
        <v>1564</v>
      </c>
      <c r="B16" t="str">
        <f t="shared" si="0"/>
        <v>Flaktveit skole</v>
      </c>
      <c r="C16" t="s">
        <v>166</v>
      </c>
      <c r="D16" t="s">
        <v>167</v>
      </c>
      <c r="E16" t="str">
        <f t="shared" si="1"/>
        <v>VestlandBergenFlaktveit skole</v>
      </c>
      <c r="F16" t="s">
        <v>184</v>
      </c>
      <c r="G16" t="s">
        <v>483</v>
      </c>
      <c r="H16" t="s">
        <v>797</v>
      </c>
      <c r="I16" t="s">
        <v>650</v>
      </c>
      <c r="J16" t="s">
        <v>802</v>
      </c>
    </row>
    <row r="17" spans="1:10" x14ac:dyDescent="0.25">
      <c r="A17" t="s">
        <v>1565</v>
      </c>
      <c r="B17" t="str">
        <f t="shared" si="0"/>
        <v>Fridalen skole</v>
      </c>
      <c r="C17" t="s">
        <v>166</v>
      </c>
      <c r="D17" t="s">
        <v>167</v>
      </c>
      <c r="E17" t="str">
        <f t="shared" si="1"/>
        <v>VestlandBergenFridalen skole</v>
      </c>
      <c r="F17" t="s">
        <v>901</v>
      </c>
      <c r="G17" t="s">
        <v>715</v>
      </c>
      <c r="H17" t="s">
        <v>604</v>
      </c>
      <c r="I17" t="s">
        <v>731</v>
      </c>
      <c r="J17" t="s">
        <v>835</v>
      </c>
    </row>
    <row r="18" spans="1:10" x14ac:dyDescent="0.25">
      <c r="A18" t="s">
        <v>836</v>
      </c>
      <c r="B18" t="str">
        <f t="shared" si="0"/>
        <v>Garnes skule</v>
      </c>
      <c r="C18" t="s">
        <v>166</v>
      </c>
      <c r="D18" t="s">
        <v>167</v>
      </c>
      <c r="E18" t="str">
        <f t="shared" si="1"/>
        <v>VestlandBergenGarnes skule</v>
      </c>
      <c r="F18" t="s">
        <v>1007</v>
      </c>
      <c r="G18" t="s">
        <v>635</v>
      </c>
      <c r="H18" t="s">
        <v>731</v>
      </c>
      <c r="I18" t="s">
        <v>263</v>
      </c>
      <c r="J18" t="s">
        <v>839</v>
      </c>
    </row>
    <row r="19" spans="1:10" x14ac:dyDescent="0.25">
      <c r="A19" t="s">
        <v>906</v>
      </c>
      <c r="B19" t="str">
        <f t="shared" si="0"/>
        <v>Haukedalen skole</v>
      </c>
      <c r="C19" t="s">
        <v>166</v>
      </c>
      <c r="D19" t="s">
        <v>167</v>
      </c>
      <c r="E19" t="str">
        <f t="shared" si="1"/>
        <v>VestlandBergenHaukedalen skole</v>
      </c>
      <c r="F19" t="s">
        <v>634</v>
      </c>
      <c r="G19" t="s">
        <v>1244</v>
      </c>
      <c r="H19" t="s">
        <v>604</v>
      </c>
      <c r="I19" t="s">
        <v>800</v>
      </c>
      <c r="J19" t="s">
        <v>916</v>
      </c>
    </row>
    <row r="20" spans="1:10" x14ac:dyDescent="0.25">
      <c r="A20" t="s">
        <v>917</v>
      </c>
      <c r="B20" t="str">
        <f t="shared" si="0"/>
        <v>Haukeland skole</v>
      </c>
      <c r="C20" t="s">
        <v>166</v>
      </c>
      <c r="D20" t="s">
        <v>167</v>
      </c>
      <c r="E20" t="str">
        <f t="shared" si="1"/>
        <v>VestlandBergenHaukeland skole</v>
      </c>
      <c r="F20" t="s">
        <v>263</v>
      </c>
      <c r="G20" t="s">
        <v>731</v>
      </c>
      <c r="H20" t="s">
        <v>604</v>
      </c>
      <c r="I20" t="s">
        <v>731</v>
      </c>
      <c r="J20" t="s">
        <v>922</v>
      </c>
    </row>
    <row r="21" spans="1:10" x14ac:dyDescent="0.25">
      <c r="A21" s="1" t="s">
        <v>894</v>
      </c>
      <c r="B21" t="str">
        <f t="shared" si="0"/>
        <v>Haukås skole</v>
      </c>
      <c r="C21" t="s">
        <v>166</v>
      </c>
      <c r="D21" t="s">
        <v>167</v>
      </c>
      <c r="E21" t="str">
        <f t="shared" si="1"/>
        <v>VestlandBergenHaukås skole</v>
      </c>
      <c r="F21" t="s">
        <v>468</v>
      </c>
      <c r="G21" t="s">
        <v>1400</v>
      </c>
      <c r="H21" t="s">
        <v>604</v>
      </c>
      <c r="I21" t="s">
        <v>604</v>
      </c>
      <c r="J21" t="s">
        <v>905</v>
      </c>
    </row>
    <row r="22" spans="1:10" x14ac:dyDescent="0.25">
      <c r="A22" t="s">
        <v>923</v>
      </c>
      <c r="B22" t="str">
        <f t="shared" si="0"/>
        <v>Hellen skole</v>
      </c>
      <c r="C22" t="s">
        <v>166</v>
      </c>
      <c r="D22" t="s">
        <v>167</v>
      </c>
      <c r="E22" t="str">
        <f t="shared" si="1"/>
        <v>VestlandBergenHellen skole</v>
      </c>
      <c r="F22" t="s">
        <v>301</v>
      </c>
      <c r="G22" t="s">
        <v>604</v>
      </c>
      <c r="H22" t="s">
        <v>604</v>
      </c>
      <c r="I22" t="s">
        <v>731</v>
      </c>
      <c r="J22" t="s">
        <v>931</v>
      </c>
    </row>
    <row r="23" spans="1:10" x14ac:dyDescent="0.25">
      <c r="A23" t="s">
        <v>932</v>
      </c>
      <c r="B23" t="str">
        <f t="shared" si="0"/>
        <v>Hjellestad skole</v>
      </c>
      <c r="C23" t="s">
        <v>166</v>
      </c>
      <c r="D23" t="s">
        <v>167</v>
      </c>
      <c r="E23" t="str">
        <f t="shared" si="1"/>
        <v>VestlandBergenHjellestad skole</v>
      </c>
      <c r="F23" t="s">
        <v>604</v>
      </c>
      <c r="G23" t="s">
        <v>604</v>
      </c>
      <c r="H23" t="s">
        <v>731</v>
      </c>
      <c r="I23" t="s">
        <v>604</v>
      </c>
      <c r="J23" t="s">
        <v>939</v>
      </c>
    </row>
    <row r="24" spans="1:10" x14ac:dyDescent="0.25">
      <c r="A24" t="s">
        <v>940</v>
      </c>
      <c r="B24" t="str">
        <f t="shared" si="0"/>
        <v>Holen skole</v>
      </c>
      <c r="C24" t="s">
        <v>166</v>
      </c>
      <c r="D24" t="s">
        <v>167</v>
      </c>
      <c r="E24" t="str">
        <f t="shared" si="1"/>
        <v>VestlandBergenHolen skole</v>
      </c>
      <c r="F24" t="s">
        <v>604</v>
      </c>
      <c r="G24" t="s">
        <v>604</v>
      </c>
      <c r="H24" t="s">
        <v>604</v>
      </c>
      <c r="I24" t="s">
        <v>731</v>
      </c>
      <c r="J24" t="s">
        <v>955</v>
      </c>
    </row>
    <row r="25" spans="1:10" x14ac:dyDescent="0.25">
      <c r="A25" t="s">
        <v>976</v>
      </c>
      <c r="B25" t="str">
        <f t="shared" si="0"/>
        <v>Hordvik skole</v>
      </c>
      <c r="C25" t="s">
        <v>166</v>
      </c>
      <c r="D25" t="s">
        <v>167</v>
      </c>
      <c r="E25" t="str">
        <f t="shared" si="1"/>
        <v>VestlandBergenHordvik skole</v>
      </c>
      <c r="F25" t="s">
        <v>211</v>
      </c>
      <c r="G25" t="s">
        <v>731</v>
      </c>
      <c r="H25" t="s">
        <v>731</v>
      </c>
      <c r="I25" t="s">
        <v>604</v>
      </c>
      <c r="J25" t="s">
        <v>987</v>
      </c>
    </row>
    <row r="26" spans="1:10" x14ac:dyDescent="0.25">
      <c r="A26" t="s">
        <v>994</v>
      </c>
      <c r="B26" t="str">
        <f t="shared" si="0"/>
        <v>Kaland skole</v>
      </c>
      <c r="C26" t="s">
        <v>166</v>
      </c>
      <c r="D26" t="s">
        <v>167</v>
      </c>
      <c r="E26" t="str">
        <f t="shared" si="1"/>
        <v>VestlandBergenKaland skole</v>
      </c>
      <c r="F26" t="s">
        <v>604</v>
      </c>
      <c r="G26" t="s">
        <v>604</v>
      </c>
      <c r="H26" t="s">
        <v>731</v>
      </c>
      <c r="I26" t="s">
        <v>604</v>
      </c>
      <c r="J26" t="s">
        <v>1001</v>
      </c>
    </row>
    <row r="27" spans="1:10" x14ac:dyDescent="0.25">
      <c r="A27" s="1" t="s">
        <v>1002</v>
      </c>
      <c r="B27" t="str">
        <f t="shared" si="0"/>
        <v>Kalvatræet skole</v>
      </c>
      <c r="C27" t="s">
        <v>166</v>
      </c>
      <c r="D27" t="s">
        <v>167</v>
      </c>
      <c r="E27" t="str">
        <f t="shared" si="1"/>
        <v>VestlandBergenKalvatræet skole</v>
      </c>
      <c r="F27" t="s">
        <v>731</v>
      </c>
      <c r="G27" t="s">
        <v>731</v>
      </c>
      <c r="H27" t="s">
        <v>731</v>
      </c>
      <c r="I27" t="s">
        <v>604</v>
      </c>
      <c r="J27" t="s">
        <v>1016</v>
      </c>
    </row>
    <row r="28" spans="1:10" x14ac:dyDescent="0.25">
      <c r="A28" t="s">
        <v>1509</v>
      </c>
      <c r="B28" t="str">
        <f t="shared" si="0"/>
        <v>Kirkevoll skole</v>
      </c>
      <c r="C28" t="s">
        <v>166</v>
      </c>
      <c r="D28" t="s">
        <v>167</v>
      </c>
      <c r="E28" t="str">
        <f t="shared" si="1"/>
        <v>VestlandBergenKirkevoll skole</v>
      </c>
      <c r="F28" t="s">
        <v>797</v>
      </c>
      <c r="G28" t="s">
        <v>797</v>
      </c>
      <c r="H28" t="s">
        <v>604</v>
      </c>
      <c r="I28" t="s">
        <v>604</v>
      </c>
      <c r="J28" t="s">
        <v>1028</v>
      </c>
    </row>
    <row r="29" spans="1:10" x14ac:dyDescent="0.25">
      <c r="A29" s="2" t="s">
        <v>1030</v>
      </c>
      <c r="B29" t="str">
        <f t="shared" si="0"/>
        <v>Kjøkkelvik skole</v>
      </c>
      <c r="C29" t="s">
        <v>166</v>
      </c>
      <c r="D29" t="s">
        <v>167</v>
      </c>
      <c r="E29" t="str">
        <f t="shared" si="1"/>
        <v>VestlandBergenKjøkkelvik skole</v>
      </c>
      <c r="F29" t="s">
        <v>571</v>
      </c>
      <c r="G29" t="s">
        <v>571</v>
      </c>
      <c r="H29" t="s">
        <v>731</v>
      </c>
      <c r="I29" t="s">
        <v>731</v>
      </c>
      <c r="J29" t="s">
        <v>1044</v>
      </c>
    </row>
    <row r="30" spans="1:10" x14ac:dyDescent="0.25">
      <c r="A30" t="s">
        <v>1045</v>
      </c>
      <c r="B30" t="str">
        <f t="shared" si="0"/>
        <v>Kringlebotn skole</v>
      </c>
      <c r="C30" t="s">
        <v>166</v>
      </c>
      <c r="D30" t="s">
        <v>167</v>
      </c>
      <c r="E30" t="str">
        <f t="shared" si="1"/>
        <v>VestlandBergenKringlebotn skole</v>
      </c>
      <c r="F30" t="s">
        <v>1441</v>
      </c>
      <c r="G30" t="s">
        <v>989</v>
      </c>
      <c r="H30" t="s">
        <v>604</v>
      </c>
      <c r="I30" t="s">
        <v>604</v>
      </c>
      <c r="J30" t="s">
        <v>1051</v>
      </c>
    </row>
    <row r="31" spans="1:10" x14ac:dyDescent="0.25">
      <c r="A31" t="s">
        <v>1052</v>
      </c>
      <c r="B31" t="str">
        <f t="shared" si="0"/>
        <v>Krohnengen skole</v>
      </c>
      <c r="C31" t="s">
        <v>166</v>
      </c>
      <c r="D31" t="s">
        <v>167</v>
      </c>
      <c r="E31" t="str">
        <f t="shared" si="1"/>
        <v>VestlandBergenKrohnengen skole</v>
      </c>
      <c r="F31" t="s">
        <v>742</v>
      </c>
      <c r="G31" t="s">
        <v>1395</v>
      </c>
      <c r="H31" t="s">
        <v>623</v>
      </c>
      <c r="I31" t="s">
        <v>604</v>
      </c>
      <c r="J31" t="s">
        <v>1062</v>
      </c>
    </row>
    <row r="32" spans="1:10" x14ac:dyDescent="0.25">
      <c r="A32" t="s">
        <v>1063</v>
      </c>
      <c r="B32" t="str">
        <f t="shared" si="0"/>
        <v>Krokeide skole</v>
      </c>
      <c r="C32" t="s">
        <v>166</v>
      </c>
      <c r="D32" t="s">
        <v>167</v>
      </c>
      <c r="E32" t="str">
        <f t="shared" si="1"/>
        <v>VestlandBergenKrokeide skole</v>
      </c>
      <c r="F32" t="s">
        <v>731</v>
      </c>
      <c r="G32" t="s">
        <v>731</v>
      </c>
      <c r="H32" t="s">
        <v>731</v>
      </c>
      <c r="I32" t="s">
        <v>731</v>
      </c>
      <c r="J32" t="s">
        <v>1066</v>
      </c>
    </row>
    <row r="33" spans="1:10" x14ac:dyDescent="0.25">
      <c r="A33" t="s">
        <v>1067</v>
      </c>
      <c r="B33" t="str">
        <f t="shared" si="0"/>
        <v>Kronstad Oppveksttun skole</v>
      </c>
      <c r="C33" t="s">
        <v>166</v>
      </c>
      <c r="D33" t="s">
        <v>167</v>
      </c>
      <c r="E33" t="str">
        <f t="shared" si="1"/>
        <v>VestlandBergenKronstad Oppveksttun skole</v>
      </c>
      <c r="F33" t="s">
        <v>731</v>
      </c>
      <c r="G33" t="s">
        <v>731</v>
      </c>
      <c r="H33" t="s">
        <v>731</v>
      </c>
      <c r="I33" t="s">
        <v>604</v>
      </c>
      <c r="J33" t="s">
        <v>1074</v>
      </c>
    </row>
    <row r="34" spans="1:10" x14ac:dyDescent="0.25">
      <c r="A34" t="s">
        <v>1075</v>
      </c>
      <c r="B34" t="str">
        <f t="shared" ref="B34:B65" si="2">TRIM(A34)</f>
        <v>Kyrkjekrinsen skole</v>
      </c>
      <c r="C34" t="s">
        <v>166</v>
      </c>
      <c r="D34" t="s">
        <v>167</v>
      </c>
      <c r="E34" t="str">
        <f t="shared" ref="E34:E65" si="3">C34&amp;D34&amp;B34</f>
        <v>VestlandBergenKyrkjekrinsen skole</v>
      </c>
      <c r="F34" t="s">
        <v>604</v>
      </c>
      <c r="G34" t="s">
        <v>604</v>
      </c>
      <c r="H34" t="s">
        <v>731</v>
      </c>
      <c r="I34" t="s">
        <v>604</v>
      </c>
      <c r="J34" t="s">
        <v>1084</v>
      </c>
    </row>
    <row r="35" spans="1:10" x14ac:dyDescent="0.25">
      <c r="A35" s="1" t="s">
        <v>1085</v>
      </c>
      <c r="B35" t="str">
        <f t="shared" si="2"/>
        <v>Landås skole</v>
      </c>
      <c r="C35" t="s">
        <v>166</v>
      </c>
      <c r="D35" t="s">
        <v>167</v>
      </c>
      <c r="E35" t="str">
        <f t="shared" si="3"/>
        <v>VestlandBergenLandås skole</v>
      </c>
      <c r="F35" t="s">
        <v>1243</v>
      </c>
      <c r="G35" t="s">
        <v>1196</v>
      </c>
      <c r="H35" t="s">
        <v>604</v>
      </c>
      <c r="I35" t="s">
        <v>604</v>
      </c>
      <c r="J35" t="s">
        <v>1099</v>
      </c>
    </row>
    <row r="36" spans="1:10" x14ac:dyDescent="0.25">
      <c r="A36" s="2" t="s">
        <v>1100</v>
      </c>
      <c r="B36" t="str">
        <f t="shared" si="2"/>
        <v>Li skole</v>
      </c>
      <c r="C36" t="s">
        <v>166</v>
      </c>
      <c r="D36" t="s">
        <v>167</v>
      </c>
      <c r="E36" t="str">
        <f t="shared" si="3"/>
        <v>VestlandBergenLi skole</v>
      </c>
      <c r="F36" t="s">
        <v>809</v>
      </c>
      <c r="G36" t="s">
        <v>809</v>
      </c>
      <c r="H36" t="s">
        <v>731</v>
      </c>
      <c r="I36" t="s">
        <v>731</v>
      </c>
      <c r="J36" t="s">
        <v>1106</v>
      </c>
    </row>
    <row r="37" spans="1:10" x14ac:dyDescent="0.25">
      <c r="A37" t="s">
        <v>1107</v>
      </c>
      <c r="B37" t="str">
        <f t="shared" si="2"/>
        <v>Liland skole</v>
      </c>
      <c r="C37" t="s">
        <v>166</v>
      </c>
      <c r="D37" t="s">
        <v>167</v>
      </c>
      <c r="E37" t="str">
        <f t="shared" si="3"/>
        <v>VestlandBergenLiland skole</v>
      </c>
      <c r="F37" t="s">
        <v>1197</v>
      </c>
      <c r="G37" t="s">
        <v>607</v>
      </c>
      <c r="H37" t="s">
        <v>731</v>
      </c>
      <c r="I37" t="s">
        <v>731</v>
      </c>
      <c r="J37" t="s">
        <v>1113</v>
      </c>
    </row>
    <row r="38" spans="1:10" x14ac:dyDescent="0.25">
      <c r="A38" t="s">
        <v>1114</v>
      </c>
      <c r="B38" t="str">
        <f t="shared" si="2"/>
        <v>Loddefjord skole</v>
      </c>
      <c r="C38" t="s">
        <v>166</v>
      </c>
      <c r="D38" t="s">
        <v>167</v>
      </c>
      <c r="E38" t="str">
        <f t="shared" si="3"/>
        <v>VestlandBergenLoddefjord skole</v>
      </c>
      <c r="F38" t="s">
        <v>604</v>
      </c>
      <c r="G38" t="s">
        <v>604</v>
      </c>
      <c r="H38" t="s">
        <v>731</v>
      </c>
      <c r="I38" t="s">
        <v>731</v>
      </c>
      <c r="J38" t="s">
        <v>1123</v>
      </c>
    </row>
    <row r="39" spans="1:10" x14ac:dyDescent="0.25">
      <c r="A39" t="s">
        <v>1520</v>
      </c>
      <c r="B39" t="str">
        <f t="shared" si="2"/>
        <v>Lone skule</v>
      </c>
      <c r="C39" t="s">
        <v>166</v>
      </c>
      <c r="D39" t="s">
        <v>167</v>
      </c>
      <c r="E39" t="str">
        <f t="shared" si="3"/>
        <v>VestlandBergenLone skule</v>
      </c>
      <c r="F39" t="s">
        <v>794</v>
      </c>
      <c r="G39" t="s">
        <v>511</v>
      </c>
      <c r="H39" t="s">
        <v>604</v>
      </c>
      <c r="I39" t="s">
        <v>1441</v>
      </c>
      <c r="J39" t="s">
        <v>1125</v>
      </c>
    </row>
    <row r="40" spans="1:10" x14ac:dyDescent="0.25">
      <c r="A40" s="1" t="s">
        <v>1142</v>
      </c>
      <c r="B40" t="str">
        <f t="shared" si="2"/>
        <v>Lyshovden Oppveksttun avd skole</v>
      </c>
      <c r="C40" t="s">
        <v>166</v>
      </c>
      <c r="D40" t="s">
        <v>167</v>
      </c>
      <c r="E40" t="str">
        <f t="shared" si="3"/>
        <v>VestlandBergenLyshovden Oppveksttun avd skole</v>
      </c>
      <c r="F40" t="s">
        <v>1013</v>
      </c>
      <c r="G40" t="s">
        <v>1013</v>
      </c>
      <c r="H40" t="s">
        <v>731</v>
      </c>
      <c r="I40" t="s">
        <v>731</v>
      </c>
      <c r="J40" t="s">
        <v>1144</v>
      </c>
    </row>
    <row r="41" spans="1:10" x14ac:dyDescent="0.25">
      <c r="A41" s="2" t="s">
        <v>1126</v>
      </c>
      <c r="B41" t="str">
        <f t="shared" si="2"/>
        <v>Løvås Oppveksttun - skole</v>
      </c>
      <c r="C41" t="s">
        <v>166</v>
      </c>
      <c r="D41" t="s">
        <v>167</v>
      </c>
      <c r="E41" t="str">
        <f t="shared" si="3"/>
        <v>VestlandBergenLøvås Oppveksttun - skole</v>
      </c>
      <c r="F41" t="s">
        <v>776</v>
      </c>
      <c r="G41" t="s">
        <v>574</v>
      </c>
      <c r="H41" t="s">
        <v>604</v>
      </c>
      <c r="I41" t="s">
        <v>305</v>
      </c>
      <c r="J41" t="s">
        <v>1128</v>
      </c>
    </row>
    <row r="42" spans="1:10" x14ac:dyDescent="0.25">
      <c r="A42" t="s">
        <v>1145</v>
      </c>
      <c r="B42" t="str">
        <f t="shared" si="2"/>
        <v>Mathopen skole</v>
      </c>
      <c r="C42" t="s">
        <v>166</v>
      </c>
      <c r="D42" t="s">
        <v>167</v>
      </c>
      <c r="E42" t="str">
        <f t="shared" si="3"/>
        <v>VestlandBergenMathopen skole</v>
      </c>
      <c r="F42" t="s">
        <v>731</v>
      </c>
      <c r="G42" t="s">
        <v>731</v>
      </c>
      <c r="H42" t="s">
        <v>731</v>
      </c>
      <c r="I42" t="s">
        <v>731</v>
      </c>
      <c r="J42" t="s">
        <v>1151</v>
      </c>
    </row>
    <row r="43" spans="1:10" x14ac:dyDescent="0.25">
      <c r="A43" t="s">
        <v>1152</v>
      </c>
      <c r="B43" t="str">
        <f t="shared" si="2"/>
        <v>Midtun skole</v>
      </c>
      <c r="C43" t="s">
        <v>166</v>
      </c>
      <c r="D43" t="s">
        <v>167</v>
      </c>
      <c r="E43" t="str">
        <f t="shared" si="3"/>
        <v>VestlandBergenMidtun skole</v>
      </c>
      <c r="F43" t="s">
        <v>1007</v>
      </c>
      <c r="G43" t="s">
        <v>604</v>
      </c>
      <c r="H43" t="s">
        <v>731</v>
      </c>
      <c r="I43" t="s">
        <v>604</v>
      </c>
      <c r="J43" t="s">
        <v>1160</v>
      </c>
    </row>
    <row r="44" spans="1:10" x14ac:dyDescent="0.25">
      <c r="A44" t="s">
        <v>1161</v>
      </c>
      <c r="B44" t="str">
        <f t="shared" si="2"/>
        <v>Minde skole</v>
      </c>
      <c r="C44" t="s">
        <v>166</v>
      </c>
      <c r="D44" t="s">
        <v>167</v>
      </c>
      <c r="E44" t="str">
        <f t="shared" si="3"/>
        <v>VestlandBergenMinde skole</v>
      </c>
      <c r="F44" t="s">
        <v>1073</v>
      </c>
      <c r="G44" t="s">
        <v>1471</v>
      </c>
      <c r="H44" t="s">
        <v>731</v>
      </c>
      <c r="I44" t="s">
        <v>1170</v>
      </c>
      <c r="J44" t="s">
        <v>1171</v>
      </c>
    </row>
    <row r="45" spans="1:10" x14ac:dyDescent="0.25">
      <c r="A45" s="1" t="s">
        <v>1172</v>
      </c>
      <c r="B45" t="str">
        <f t="shared" si="2"/>
        <v>Mjølkeråen skole</v>
      </c>
      <c r="C45" t="s">
        <v>166</v>
      </c>
      <c r="D45" t="s">
        <v>167</v>
      </c>
      <c r="E45" t="str">
        <f t="shared" si="3"/>
        <v>VestlandBergenMjølkeråen skole</v>
      </c>
      <c r="F45" t="s">
        <v>1528</v>
      </c>
      <c r="G45" t="s">
        <v>1528</v>
      </c>
      <c r="H45" t="s">
        <v>731</v>
      </c>
      <c r="I45" t="s">
        <v>731</v>
      </c>
      <c r="J45" t="s">
        <v>1188</v>
      </c>
    </row>
    <row r="46" spans="1:10" x14ac:dyDescent="0.25">
      <c r="A46" s="2" t="s">
        <v>1189</v>
      </c>
      <c r="B46" t="str">
        <f t="shared" si="2"/>
        <v>Møhlenpris Oppveksttun avd skole</v>
      </c>
      <c r="C46" t="s">
        <v>166</v>
      </c>
      <c r="D46" t="s">
        <v>167</v>
      </c>
      <c r="E46" t="str">
        <f t="shared" si="3"/>
        <v>VestlandBergenMøhlenpris Oppveksttun avd skole</v>
      </c>
      <c r="F46" t="s">
        <v>571</v>
      </c>
      <c r="G46" t="s">
        <v>542</v>
      </c>
      <c r="H46" t="s">
        <v>604</v>
      </c>
      <c r="I46" t="s">
        <v>731</v>
      </c>
      <c r="J46" t="s">
        <v>1193</v>
      </c>
    </row>
    <row r="47" spans="1:10" x14ac:dyDescent="0.25">
      <c r="A47" s="1" t="s">
        <v>1194</v>
      </c>
      <c r="B47" t="str">
        <f t="shared" si="2"/>
        <v>Møllebakken skole</v>
      </c>
      <c r="C47" t="s">
        <v>166</v>
      </c>
      <c r="D47" t="s">
        <v>167</v>
      </c>
      <c r="E47" t="str">
        <f t="shared" si="3"/>
        <v>VestlandBergenMøllebakken skole</v>
      </c>
      <c r="F47" t="s">
        <v>604</v>
      </c>
      <c r="G47" t="s">
        <v>604</v>
      </c>
      <c r="H47" t="s">
        <v>604</v>
      </c>
      <c r="I47" t="s">
        <v>604</v>
      </c>
      <c r="J47" t="s">
        <v>1203</v>
      </c>
    </row>
    <row r="48" spans="1:10" x14ac:dyDescent="0.25">
      <c r="A48" t="s">
        <v>1204</v>
      </c>
      <c r="B48" t="str">
        <f t="shared" si="2"/>
        <v>Nattland skole</v>
      </c>
      <c r="C48" t="s">
        <v>166</v>
      </c>
      <c r="D48" t="s">
        <v>167</v>
      </c>
      <c r="E48" t="str">
        <f t="shared" si="3"/>
        <v>VestlandBergenNattland skole</v>
      </c>
      <c r="F48" t="s">
        <v>1007</v>
      </c>
      <c r="G48" t="s">
        <v>635</v>
      </c>
      <c r="H48" t="s">
        <v>731</v>
      </c>
      <c r="I48" t="s">
        <v>716</v>
      </c>
      <c r="J48" t="s">
        <v>1223</v>
      </c>
    </row>
    <row r="49" spans="1:10" x14ac:dyDescent="0.25">
      <c r="A49" t="s">
        <v>1224</v>
      </c>
      <c r="B49" t="str">
        <f t="shared" si="2"/>
        <v>Nordnes skole</v>
      </c>
      <c r="C49" t="s">
        <v>166</v>
      </c>
      <c r="D49" t="s">
        <v>167</v>
      </c>
      <c r="E49" t="str">
        <f t="shared" si="3"/>
        <v>VestlandBergenNordnes skole</v>
      </c>
      <c r="F49" t="s">
        <v>731</v>
      </c>
      <c r="G49" t="s">
        <v>731</v>
      </c>
      <c r="H49" t="s">
        <v>731</v>
      </c>
      <c r="I49" t="s">
        <v>604</v>
      </c>
      <c r="J49" t="s">
        <v>1230</v>
      </c>
    </row>
    <row r="50" spans="1:10" x14ac:dyDescent="0.25">
      <c r="A50" t="s">
        <v>1236</v>
      </c>
      <c r="B50" t="str">
        <f t="shared" si="2"/>
        <v>Ny Krohnborg skole</v>
      </c>
      <c r="C50" t="s">
        <v>166</v>
      </c>
      <c r="D50" t="s">
        <v>167</v>
      </c>
      <c r="E50" t="str">
        <f t="shared" si="3"/>
        <v>VestlandBergenNy Krohnborg skole</v>
      </c>
      <c r="F50" t="s">
        <v>1166</v>
      </c>
      <c r="G50" t="s">
        <v>604</v>
      </c>
      <c r="H50" t="s">
        <v>604</v>
      </c>
      <c r="I50" t="s">
        <v>604</v>
      </c>
      <c r="J50" t="s">
        <v>1245</v>
      </c>
    </row>
    <row r="51" spans="1:10" x14ac:dyDescent="0.25">
      <c r="A51" s="1" t="s">
        <v>1246</v>
      </c>
      <c r="B51" t="str">
        <f t="shared" si="2"/>
        <v>Nygårdslien skole</v>
      </c>
      <c r="C51" t="s">
        <v>166</v>
      </c>
      <c r="D51" t="s">
        <v>167</v>
      </c>
      <c r="E51" t="str">
        <f t="shared" si="3"/>
        <v>VestlandBergenNygårdslien skole</v>
      </c>
      <c r="F51" t="s">
        <v>1166</v>
      </c>
      <c r="G51" t="s">
        <v>660</v>
      </c>
      <c r="H51" t="s">
        <v>731</v>
      </c>
      <c r="I51" t="s">
        <v>1536</v>
      </c>
      <c r="J51" t="s">
        <v>1250</v>
      </c>
    </row>
    <row r="52" spans="1:10" x14ac:dyDescent="0.25">
      <c r="A52" t="s">
        <v>1251</v>
      </c>
      <c r="B52" t="str">
        <f t="shared" si="2"/>
        <v>Olsvik skole</v>
      </c>
      <c r="C52" t="s">
        <v>166</v>
      </c>
      <c r="D52" t="s">
        <v>167</v>
      </c>
      <c r="E52" t="str">
        <f t="shared" si="3"/>
        <v>VestlandBergenOlsvik skole</v>
      </c>
      <c r="F52" t="s">
        <v>1538</v>
      </c>
      <c r="G52" t="s">
        <v>744</v>
      </c>
      <c r="H52" t="s">
        <v>731</v>
      </c>
      <c r="I52" t="s">
        <v>731</v>
      </c>
      <c r="J52" t="s">
        <v>1264</v>
      </c>
    </row>
    <row r="53" spans="1:10" x14ac:dyDescent="0.25">
      <c r="A53" t="s">
        <v>1273</v>
      </c>
      <c r="B53" t="str">
        <f t="shared" si="2"/>
        <v>Paradis skole</v>
      </c>
      <c r="C53" t="s">
        <v>166</v>
      </c>
      <c r="D53" t="s">
        <v>167</v>
      </c>
      <c r="E53" t="str">
        <f t="shared" si="3"/>
        <v>VestlandBergenParadis skole</v>
      </c>
      <c r="F53" t="s">
        <v>486</v>
      </c>
      <c r="G53" t="s">
        <v>604</v>
      </c>
      <c r="H53" t="s">
        <v>604</v>
      </c>
      <c r="I53" t="s">
        <v>731</v>
      </c>
      <c r="J53" t="s">
        <v>1281</v>
      </c>
    </row>
    <row r="54" spans="1:10" x14ac:dyDescent="0.25">
      <c r="A54" t="s">
        <v>1299</v>
      </c>
      <c r="B54" t="str">
        <f t="shared" si="2"/>
        <v>Rolland skole</v>
      </c>
      <c r="C54" t="s">
        <v>166</v>
      </c>
      <c r="D54" t="s">
        <v>167</v>
      </c>
      <c r="E54" t="str">
        <f t="shared" si="3"/>
        <v>VestlandBergenRolland skole</v>
      </c>
      <c r="F54" t="s">
        <v>1048</v>
      </c>
      <c r="G54" t="s">
        <v>809</v>
      </c>
      <c r="H54" t="s">
        <v>604</v>
      </c>
      <c r="I54" t="s">
        <v>731</v>
      </c>
      <c r="J54" t="s">
        <v>1302</v>
      </c>
    </row>
    <row r="55" spans="1:10" x14ac:dyDescent="0.25">
      <c r="A55" s="2" t="s">
        <v>1325</v>
      </c>
      <c r="B55" t="str">
        <f t="shared" si="2"/>
        <v>Rudolf steinerskolen i Bergen skolen</v>
      </c>
      <c r="C55" t="s">
        <v>166</v>
      </c>
      <c r="D55" t="s">
        <v>167</v>
      </c>
      <c r="E55" t="str">
        <f t="shared" si="3"/>
        <v>VestlandBergenRudolf steinerskolen i Bergen skolen</v>
      </c>
      <c r="F55" t="s">
        <v>604</v>
      </c>
      <c r="G55" t="s">
        <v>731</v>
      </c>
      <c r="H55" t="s">
        <v>604</v>
      </c>
      <c r="I55" t="s">
        <v>731</v>
      </c>
      <c r="J55" t="s">
        <v>1328</v>
      </c>
    </row>
    <row r="56" spans="1:10" x14ac:dyDescent="0.25">
      <c r="A56" t="s">
        <v>1566</v>
      </c>
      <c r="B56" t="str">
        <f t="shared" si="2"/>
        <v>Salhus skule skole</v>
      </c>
      <c r="C56" t="s">
        <v>166</v>
      </c>
      <c r="D56" t="s">
        <v>167</v>
      </c>
      <c r="E56" t="str">
        <f t="shared" si="3"/>
        <v>VestlandBergenSalhus skule skole</v>
      </c>
      <c r="F56" t="s">
        <v>604</v>
      </c>
      <c r="G56" t="s">
        <v>604</v>
      </c>
      <c r="H56" t="s">
        <v>604</v>
      </c>
      <c r="I56" t="s">
        <v>604</v>
      </c>
      <c r="J56" t="s">
        <v>1348</v>
      </c>
    </row>
    <row r="57" spans="1:10" x14ac:dyDescent="0.25">
      <c r="A57" t="s">
        <v>1360</v>
      </c>
      <c r="B57" t="str">
        <f t="shared" si="2"/>
        <v>Seljedalen skole</v>
      </c>
      <c r="C57" t="s">
        <v>166</v>
      </c>
      <c r="D57" t="s">
        <v>167</v>
      </c>
      <c r="E57" t="str">
        <f t="shared" si="3"/>
        <v>VestlandBergenSeljedalen skole</v>
      </c>
      <c r="F57" t="s">
        <v>604</v>
      </c>
      <c r="G57" t="s">
        <v>604</v>
      </c>
      <c r="H57" t="s">
        <v>604</v>
      </c>
      <c r="I57" t="s">
        <v>604</v>
      </c>
      <c r="J57" t="s">
        <v>1363</v>
      </c>
    </row>
    <row r="58" spans="1:10" x14ac:dyDescent="0.25">
      <c r="A58" t="s">
        <v>1364</v>
      </c>
      <c r="B58" t="str">
        <f t="shared" si="2"/>
        <v>Skeie skole</v>
      </c>
      <c r="C58" t="s">
        <v>166</v>
      </c>
      <c r="D58" t="s">
        <v>167</v>
      </c>
      <c r="E58" t="str">
        <f t="shared" si="3"/>
        <v>VestlandBergenSkeie skole</v>
      </c>
      <c r="F58" t="s">
        <v>1049</v>
      </c>
      <c r="G58" t="s">
        <v>807</v>
      </c>
      <c r="H58" t="s">
        <v>263</v>
      </c>
      <c r="I58" t="s">
        <v>743</v>
      </c>
      <c r="J58" t="s">
        <v>1368</v>
      </c>
    </row>
    <row r="59" spans="1:10" x14ac:dyDescent="0.25">
      <c r="A59" t="s">
        <v>1369</v>
      </c>
      <c r="B59" t="str">
        <f t="shared" si="2"/>
        <v>Skjold skole</v>
      </c>
      <c r="C59" t="s">
        <v>166</v>
      </c>
      <c r="D59" t="s">
        <v>167</v>
      </c>
      <c r="E59" t="str">
        <f t="shared" si="3"/>
        <v>VestlandBergenSkjold skole</v>
      </c>
      <c r="F59" t="s">
        <v>306</v>
      </c>
      <c r="G59" t="s">
        <v>604</v>
      </c>
      <c r="H59" t="s">
        <v>604</v>
      </c>
      <c r="I59" t="s">
        <v>604</v>
      </c>
      <c r="J59" t="s">
        <v>1373</v>
      </c>
    </row>
    <row r="60" spans="1:10" x14ac:dyDescent="0.25">
      <c r="A60" t="s">
        <v>1567</v>
      </c>
      <c r="B60" t="str">
        <f t="shared" si="2"/>
        <v>Skranevatnet skole</v>
      </c>
      <c r="C60" t="s">
        <v>166</v>
      </c>
      <c r="D60" t="s">
        <v>167</v>
      </c>
      <c r="E60" t="str">
        <f t="shared" si="3"/>
        <v>VestlandBergenSkranevatnet skole</v>
      </c>
      <c r="F60" t="s">
        <v>536</v>
      </c>
      <c r="G60" t="s">
        <v>604</v>
      </c>
      <c r="H60" t="s">
        <v>1170</v>
      </c>
      <c r="I60" t="s">
        <v>263</v>
      </c>
      <c r="J60" t="s">
        <v>1388</v>
      </c>
    </row>
    <row r="61" spans="1:10" x14ac:dyDescent="0.25">
      <c r="A61" t="s">
        <v>1568</v>
      </c>
      <c r="B61" t="str">
        <f t="shared" si="2"/>
        <v>Slettebakken skole</v>
      </c>
      <c r="C61" t="s">
        <v>166</v>
      </c>
      <c r="D61" t="s">
        <v>167</v>
      </c>
      <c r="E61" t="str">
        <f t="shared" si="3"/>
        <v>VestlandBergenSlettebakken skole</v>
      </c>
      <c r="F61" t="s">
        <v>807</v>
      </c>
      <c r="G61" t="s">
        <v>902</v>
      </c>
      <c r="H61" t="s">
        <v>604</v>
      </c>
      <c r="I61" t="s">
        <v>604</v>
      </c>
      <c r="J61" t="s">
        <v>1403</v>
      </c>
    </row>
    <row r="62" spans="1:10" x14ac:dyDescent="0.25">
      <c r="A62" s="1" t="s">
        <v>1569</v>
      </c>
      <c r="B62" t="str">
        <f t="shared" si="2"/>
        <v>Smørås skole</v>
      </c>
      <c r="C62" t="s">
        <v>166</v>
      </c>
      <c r="D62" t="s">
        <v>167</v>
      </c>
      <c r="E62" t="str">
        <f t="shared" si="3"/>
        <v>VestlandBergenSmørås skole</v>
      </c>
      <c r="F62" t="s">
        <v>1426</v>
      </c>
      <c r="G62" t="s">
        <v>604</v>
      </c>
      <c r="H62" t="s">
        <v>731</v>
      </c>
      <c r="I62" t="s">
        <v>731</v>
      </c>
      <c r="J62" t="s">
        <v>1409</v>
      </c>
    </row>
    <row r="63" spans="1:10" x14ac:dyDescent="0.25">
      <c r="A63" t="s">
        <v>1570</v>
      </c>
      <c r="B63" t="str">
        <f t="shared" si="2"/>
        <v>St Paul skole</v>
      </c>
      <c r="C63" t="s">
        <v>166</v>
      </c>
      <c r="D63" t="s">
        <v>167</v>
      </c>
      <c r="E63" t="str">
        <f t="shared" si="3"/>
        <v>VestlandBergenSt Paul skole</v>
      </c>
      <c r="F63" t="s">
        <v>604</v>
      </c>
      <c r="G63" t="s">
        <v>604</v>
      </c>
      <c r="H63" t="s">
        <v>731</v>
      </c>
      <c r="I63" t="s">
        <v>604</v>
      </c>
      <c r="J63" t="s">
        <v>1434</v>
      </c>
    </row>
    <row r="64" spans="1:10" x14ac:dyDescent="0.25">
      <c r="A64" s="2" t="s">
        <v>1571</v>
      </c>
      <c r="B64" t="str">
        <f t="shared" si="2"/>
        <v>Stiftelsen Davinci montessoriskole</v>
      </c>
      <c r="C64" t="s">
        <v>166</v>
      </c>
      <c r="D64" t="s">
        <v>167</v>
      </c>
      <c r="E64" t="str">
        <f t="shared" si="3"/>
        <v>VestlandBergenStiftelsen Davinci montessoriskole</v>
      </c>
      <c r="F64" t="s">
        <v>604</v>
      </c>
      <c r="G64" t="s">
        <v>604</v>
      </c>
      <c r="H64" t="s">
        <v>604</v>
      </c>
      <c r="I64" t="s">
        <v>604</v>
      </c>
      <c r="J64" t="s">
        <v>1235</v>
      </c>
    </row>
    <row r="65" spans="1:10" x14ac:dyDescent="0.25">
      <c r="A65" s="1" t="s">
        <v>1572</v>
      </c>
      <c r="B65" t="str">
        <f t="shared" si="2"/>
        <v>Stiftelsen montessoriskolen i Bergen</v>
      </c>
      <c r="C65" t="s">
        <v>166</v>
      </c>
      <c r="D65" t="s">
        <v>167</v>
      </c>
      <c r="E65" t="str">
        <f t="shared" si="3"/>
        <v>VestlandBergenStiftelsen montessoriskolen i Bergen</v>
      </c>
      <c r="F65" t="s">
        <v>731</v>
      </c>
      <c r="G65" t="s">
        <v>731</v>
      </c>
      <c r="H65" t="s">
        <v>731</v>
      </c>
      <c r="I65" t="s">
        <v>604</v>
      </c>
      <c r="J65" t="s">
        <v>1447</v>
      </c>
    </row>
    <row r="66" spans="1:10" x14ac:dyDescent="0.25">
      <c r="A66" s="1" t="s">
        <v>1329</v>
      </c>
      <c r="B66" t="str">
        <f t="shared" ref="B66:B97" si="4">TRIM(A66)</f>
        <v>Sædalen skole</v>
      </c>
      <c r="C66" t="s">
        <v>166</v>
      </c>
      <c r="D66" t="s">
        <v>167</v>
      </c>
      <c r="E66" t="str">
        <f t="shared" ref="E66:E97" si="5">C66&amp;D66&amp;B66</f>
        <v>VestlandBergenSædalen skole</v>
      </c>
      <c r="F66" t="s">
        <v>950</v>
      </c>
      <c r="G66" t="s">
        <v>306</v>
      </c>
      <c r="H66" t="s">
        <v>731</v>
      </c>
      <c r="I66" t="s">
        <v>618</v>
      </c>
      <c r="J66" t="s">
        <v>1335</v>
      </c>
    </row>
    <row r="67" spans="1:10" x14ac:dyDescent="0.25">
      <c r="A67" s="2" t="s">
        <v>1336</v>
      </c>
      <c r="B67" t="str">
        <f t="shared" si="4"/>
        <v>Sælen Oppveksttun avd skole</v>
      </c>
      <c r="C67" t="s">
        <v>166</v>
      </c>
      <c r="D67" t="s">
        <v>167</v>
      </c>
      <c r="E67" t="str">
        <f t="shared" si="5"/>
        <v>VestlandBergenSælen Oppveksttun avd skole</v>
      </c>
      <c r="F67" t="s">
        <v>1228</v>
      </c>
      <c r="G67" t="s">
        <v>1536</v>
      </c>
      <c r="H67" t="s">
        <v>731</v>
      </c>
      <c r="I67" t="s">
        <v>797</v>
      </c>
      <c r="J67" t="s">
        <v>1340</v>
      </c>
    </row>
    <row r="68" spans="1:10" x14ac:dyDescent="0.25">
      <c r="A68" s="2" t="s">
        <v>1573</v>
      </c>
      <c r="B68" t="str">
        <f t="shared" si="4"/>
        <v>Søreide skole</v>
      </c>
      <c r="C68" t="s">
        <v>166</v>
      </c>
      <c r="D68" t="s">
        <v>167</v>
      </c>
      <c r="E68" t="str">
        <f t="shared" si="5"/>
        <v>VestlandBergenSøreide skole</v>
      </c>
      <c r="F68" t="s">
        <v>1010</v>
      </c>
      <c r="G68" t="s">
        <v>1232</v>
      </c>
      <c r="H68" t="s">
        <v>604</v>
      </c>
      <c r="I68" t="s">
        <v>1229</v>
      </c>
      <c r="J68" t="s">
        <v>1429</v>
      </c>
    </row>
    <row r="69" spans="1:10" x14ac:dyDescent="0.25">
      <c r="A69" s="1" t="s">
        <v>1574</v>
      </c>
      <c r="B69" t="str">
        <f t="shared" si="4"/>
        <v>Søråshøgda skole</v>
      </c>
      <c r="C69" t="s">
        <v>166</v>
      </c>
      <c r="D69" t="s">
        <v>167</v>
      </c>
      <c r="E69" t="str">
        <f t="shared" si="5"/>
        <v>VestlandBergenSøråshøgda skole</v>
      </c>
      <c r="F69" t="s">
        <v>651</v>
      </c>
      <c r="G69" t="s">
        <v>651</v>
      </c>
      <c r="H69" t="s">
        <v>731</v>
      </c>
      <c r="I69" t="s">
        <v>731</v>
      </c>
      <c r="J69" t="s">
        <v>1417</v>
      </c>
    </row>
    <row r="70" spans="1:10" x14ac:dyDescent="0.25">
      <c r="A70" t="s">
        <v>1460</v>
      </c>
      <c r="B70" t="str">
        <f t="shared" si="4"/>
        <v>Tertnes skole</v>
      </c>
      <c r="C70" t="s">
        <v>166</v>
      </c>
      <c r="D70" t="s">
        <v>167</v>
      </c>
      <c r="E70" t="str">
        <f t="shared" si="5"/>
        <v>VestlandBergenTertnes skole</v>
      </c>
      <c r="F70" t="s">
        <v>1528</v>
      </c>
      <c r="G70" t="s">
        <v>829</v>
      </c>
      <c r="H70" t="s">
        <v>604</v>
      </c>
      <c r="I70" t="s">
        <v>829</v>
      </c>
      <c r="J70" t="s">
        <v>1461</v>
      </c>
    </row>
    <row r="71" spans="1:10" x14ac:dyDescent="0.25">
      <c r="A71" t="s">
        <v>1468</v>
      </c>
      <c r="B71" t="str">
        <f t="shared" si="4"/>
        <v>Ulsetskogen skole</v>
      </c>
      <c r="C71" t="s">
        <v>166</v>
      </c>
      <c r="D71" t="s">
        <v>167</v>
      </c>
      <c r="E71" t="str">
        <f t="shared" si="5"/>
        <v>VestlandBergenUlsetskogen skole</v>
      </c>
      <c r="F71" t="s">
        <v>1197</v>
      </c>
      <c r="G71" t="s">
        <v>607</v>
      </c>
      <c r="H71" t="s">
        <v>731</v>
      </c>
      <c r="I71" t="s">
        <v>731</v>
      </c>
      <c r="J71" t="s">
        <v>1472</v>
      </c>
    </row>
    <row r="72" spans="1:10" x14ac:dyDescent="0.25">
      <c r="A72" s="2" t="s">
        <v>1575</v>
      </c>
      <c r="B72" t="str">
        <f t="shared" si="4"/>
        <v>Ulsmåg skole</v>
      </c>
      <c r="C72" t="s">
        <v>166</v>
      </c>
      <c r="D72" t="s">
        <v>167</v>
      </c>
      <c r="E72" t="str">
        <f t="shared" si="5"/>
        <v>VestlandBergenUlsmåg skole</v>
      </c>
      <c r="F72" t="s">
        <v>631</v>
      </c>
      <c r="G72" t="s">
        <v>631</v>
      </c>
      <c r="H72" t="s">
        <v>731</v>
      </c>
      <c r="I72" t="s">
        <v>731</v>
      </c>
      <c r="J72" t="s">
        <v>1480</v>
      </c>
    </row>
    <row r="73" spans="1:10" x14ac:dyDescent="0.25">
      <c r="A73" t="s">
        <v>1481</v>
      </c>
      <c r="B73" t="str">
        <f t="shared" si="4"/>
        <v>Vadmyra skole</v>
      </c>
      <c r="C73" t="s">
        <v>166</v>
      </c>
      <c r="D73" t="s">
        <v>167</v>
      </c>
      <c r="E73" t="str">
        <f t="shared" si="5"/>
        <v>VestlandBergenVadmyra skole</v>
      </c>
      <c r="F73" t="s">
        <v>989</v>
      </c>
      <c r="G73" t="s">
        <v>742</v>
      </c>
      <c r="H73" t="s">
        <v>604</v>
      </c>
      <c r="I73" t="s">
        <v>604</v>
      </c>
      <c r="J73" t="s">
        <v>1484</v>
      </c>
    </row>
    <row r="74" spans="1:10" x14ac:dyDescent="0.25">
      <c r="A74" t="s">
        <v>1485</v>
      </c>
      <c r="B74" t="str">
        <f t="shared" si="4"/>
        <v>Varden skole</v>
      </c>
      <c r="C74" t="s">
        <v>166</v>
      </c>
      <c r="D74" t="s">
        <v>167</v>
      </c>
      <c r="E74" t="str">
        <f t="shared" si="5"/>
        <v>VestlandBergenVarden skole</v>
      </c>
      <c r="F74" t="s">
        <v>773</v>
      </c>
      <c r="G74" t="s">
        <v>1118</v>
      </c>
      <c r="H74" t="s">
        <v>650</v>
      </c>
      <c r="I74" t="s">
        <v>604</v>
      </c>
      <c r="J74" t="s">
        <v>1489</v>
      </c>
    </row>
    <row r="75" spans="1:10" x14ac:dyDescent="0.25">
      <c r="A75" t="s">
        <v>1490</v>
      </c>
      <c r="B75" t="str">
        <f t="shared" si="4"/>
        <v>Ytre Arna skule</v>
      </c>
      <c r="C75" t="s">
        <v>166</v>
      </c>
      <c r="D75" t="s">
        <v>167</v>
      </c>
      <c r="E75" t="str">
        <f t="shared" si="5"/>
        <v>VestlandBergenYtre Arna skule</v>
      </c>
      <c r="F75" t="s">
        <v>989</v>
      </c>
      <c r="G75" t="s">
        <v>989</v>
      </c>
      <c r="H75" t="s">
        <v>731</v>
      </c>
      <c r="I75" t="s">
        <v>731</v>
      </c>
      <c r="J75" t="s">
        <v>1492</v>
      </c>
    </row>
    <row r="76" spans="1:10" x14ac:dyDescent="0.25">
      <c r="A76" s="1" t="s">
        <v>1576</v>
      </c>
      <c r="B76" t="str">
        <f t="shared" si="4"/>
        <v>Ådnamarka skule</v>
      </c>
      <c r="C76" t="s">
        <v>166</v>
      </c>
      <c r="D76" t="s">
        <v>167</v>
      </c>
      <c r="E76" t="str">
        <f t="shared" si="5"/>
        <v>VestlandBergenÅdnamarka skule</v>
      </c>
      <c r="F76" t="s">
        <v>965</v>
      </c>
      <c r="G76" t="s">
        <v>965</v>
      </c>
      <c r="H76" t="s">
        <v>731</v>
      </c>
      <c r="I76" t="s">
        <v>604</v>
      </c>
      <c r="J76" t="s">
        <v>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6.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13"/>
  <sheetViews>
    <sheetView workbookViewId="0">
      <selection activeCell="C17" sqref="C17"/>
    </sheetView>
  </sheetViews>
  <sheetFormatPr defaultRowHeight="16.5" x14ac:dyDescent="0.25"/>
  <cols>
    <col min="1" max="1" width="40" customWidth="1"/>
    <col min="2" max="2" width="38" customWidth="1"/>
  </cols>
  <sheetData>
    <row r="1" spans="1:2" x14ac:dyDescent="0.25">
      <c r="A1" t="s">
        <v>1577</v>
      </c>
      <c r="B1" t="s">
        <v>163</v>
      </c>
    </row>
    <row r="2" spans="1:2" x14ac:dyDescent="0.25">
      <c r="A2" t="s">
        <v>471</v>
      </c>
      <c r="B2" t="s">
        <v>498</v>
      </c>
    </row>
    <row r="3" spans="1:2" x14ac:dyDescent="0.25">
      <c r="A3" t="s">
        <v>499</v>
      </c>
      <c r="B3" t="s">
        <v>526</v>
      </c>
    </row>
    <row r="4" spans="1:2" x14ac:dyDescent="0.25">
      <c r="A4" t="s">
        <v>578</v>
      </c>
      <c r="B4" t="s">
        <v>602</v>
      </c>
    </row>
    <row r="5" spans="1:2" x14ac:dyDescent="0.25">
      <c r="A5" t="s">
        <v>1578</v>
      </c>
      <c r="B5" t="s">
        <v>636</v>
      </c>
    </row>
    <row r="6" spans="1:2" x14ac:dyDescent="0.25">
      <c r="A6" t="s">
        <v>609</v>
      </c>
      <c r="B6" t="s">
        <v>636</v>
      </c>
    </row>
    <row r="7" spans="1:2" x14ac:dyDescent="0.25">
      <c r="A7" t="s">
        <v>638</v>
      </c>
      <c r="B7" t="s">
        <v>653</v>
      </c>
    </row>
    <row r="8" spans="1:2" x14ac:dyDescent="0.25">
      <c r="A8" t="s">
        <v>654</v>
      </c>
      <c r="B8" t="s">
        <v>661</v>
      </c>
    </row>
    <row r="9" spans="1:2" x14ac:dyDescent="0.25">
      <c r="A9" t="s">
        <v>662</v>
      </c>
      <c r="B9" t="s">
        <v>690</v>
      </c>
    </row>
    <row r="10" spans="1:2" x14ac:dyDescent="0.25">
      <c r="A10" t="s">
        <v>705</v>
      </c>
      <c r="B10" t="s">
        <v>733</v>
      </c>
    </row>
    <row r="11" spans="1:2" x14ac:dyDescent="0.25">
      <c r="A11" t="s">
        <v>693</v>
      </c>
      <c r="B11" t="s">
        <v>704</v>
      </c>
    </row>
    <row r="12" spans="1:2" x14ac:dyDescent="0.25">
      <c r="A12" t="s">
        <v>735</v>
      </c>
      <c r="B12" t="s">
        <v>747</v>
      </c>
    </row>
    <row r="13" spans="1:2" x14ac:dyDescent="0.25">
      <c r="A13" t="s">
        <v>1579</v>
      </c>
      <c r="B13" t="s">
        <v>764</v>
      </c>
    </row>
    <row r="14" spans="1:2" x14ac:dyDescent="0.25">
      <c r="A14" t="s">
        <v>748</v>
      </c>
      <c r="B14" t="s">
        <v>764</v>
      </c>
    </row>
    <row r="15" spans="1:2" x14ac:dyDescent="0.25">
      <c r="A15" t="s">
        <v>1580</v>
      </c>
      <c r="B15" t="s">
        <v>814</v>
      </c>
    </row>
    <row r="16" spans="1:2" x14ac:dyDescent="0.25">
      <c r="A16" t="s">
        <v>765</v>
      </c>
      <c r="B16" t="s">
        <v>777</v>
      </c>
    </row>
    <row r="17" spans="1:2" x14ac:dyDescent="0.25">
      <c r="A17" t="s">
        <v>778</v>
      </c>
      <c r="B17" t="s">
        <v>788</v>
      </c>
    </row>
    <row r="18" spans="1:2" x14ac:dyDescent="0.25">
      <c r="A18" t="s">
        <v>789</v>
      </c>
      <c r="B18" t="s">
        <v>802</v>
      </c>
    </row>
    <row r="19" spans="1:2" x14ac:dyDescent="0.25">
      <c r="A19" t="s">
        <v>803</v>
      </c>
      <c r="B19" t="s">
        <v>814</v>
      </c>
    </row>
    <row r="20" spans="1:2" x14ac:dyDescent="0.25">
      <c r="A20" t="s">
        <v>815</v>
      </c>
      <c r="B20" t="s">
        <v>835</v>
      </c>
    </row>
    <row r="21" spans="1:2" x14ac:dyDescent="0.25">
      <c r="A21" t="s">
        <v>836</v>
      </c>
      <c r="B21" t="s">
        <v>839</v>
      </c>
    </row>
    <row r="22" spans="1:2" x14ac:dyDescent="0.25">
      <c r="A22" t="s">
        <v>840</v>
      </c>
      <c r="B22" t="s">
        <v>866</v>
      </c>
    </row>
    <row r="23" spans="1:2" x14ac:dyDescent="0.25">
      <c r="A23" t="s">
        <v>1497</v>
      </c>
      <c r="B23" t="s">
        <v>893</v>
      </c>
    </row>
    <row r="24" spans="1:2" x14ac:dyDescent="0.25">
      <c r="A24" t="s">
        <v>1581</v>
      </c>
      <c r="B24" t="s">
        <v>893</v>
      </c>
    </row>
    <row r="25" spans="1:2" x14ac:dyDescent="0.25">
      <c r="A25" t="s">
        <v>1499</v>
      </c>
      <c r="B25" t="s">
        <v>916</v>
      </c>
    </row>
    <row r="26" spans="1:2" x14ac:dyDescent="0.25">
      <c r="A26" t="s">
        <v>1500</v>
      </c>
      <c r="B26" t="s">
        <v>922</v>
      </c>
    </row>
    <row r="27" spans="1:2" x14ac:dyDescent="0.25">
      <c r="A27" t="s">
        <v>1498</v>
      </c>
      <c r="B27" t="s">
        <v>905</v>
      </c>
    </row>
    <row r="28" spans="1:2" x14ac:dyDescent="0.25">
      <c r="A28" t="s">
        <v>1501</v>
      </c>
      <c r="B28" t="s">
        <v>931</v>
      </c>
    </row>
    <row r="29" spans="1:2" x14ac:dyDescent="0.25">
      <c r="A29" t="s">
        <v>1502</v>
      </c>
      <c r="B29" t="s">
        <v>939</v>
      </c>
    </row>
    <row r="30" spans="1:2" x14ac:dyDescent="0.25">
      <c r="A30" t="s">
        <v>1503</v>
      </c>
      <c r="B30" t="s">
        <v>955</v>
      </c>
    </row>
    <row r="31" spans="1:2" x14ac:dyDescent="0.25">
      <c r="A31" t="s">
        <v>1504</v>
      </c>
      <c r="B31" t="s">
        <v>974</v>
      </c>
    </row>
    <row r="32" spans="1:2" x14ac:dyDescent="0.25">
      <c r="A32" t="s">
        <v>1582</v>
      </c>
      <c r="B32" t="s">
        <v>974</v>
      </c>
    </row>
    <row r="33" spans="1:2" x14ac:dyDescent="0.25">
      <c r="A33" t="s">
        <v>1505</v>
      </c>
      <c r="B33" t="s">
        <v>987</v>
      </c>
    </row>
    <row r="34" spans="1:2" x14ac:dyDescent="0.25">
      <c r="A34" t="s">
        <v>1583</v>
      </c>
      <c r="B34" t="s">
        <v>993</v>
      </c>
    </row>
    <row r="35" spans="1:2" x14ac:dyDescent="0.25">
      <c r="A35" t="s">
        <v>1506</v>
      </c>
      <c r="B35" t="s">
        <v>993</v>
      </c>
    </row>
    <row r="36" spans="1:2" x14ac:dyDescent="0.25">
      <c r="A36" t="s">
        <v>1507</v>
      </c>
      <c r="B36" t="s">
        <v>1001</v>
      </c>
    </row>
    <row r="37" spans="1:2" x14ac:dyDescent="0.25">
      <c r="A37" t="s">
        <v>1508</v>
      </c>
      <c r="B37" t="s">
        <v>1016</v>
      </c>
    </row>
    <row r="38" spans="1:2" x14ac:dyDescent="0.25">
      <c r="A38" t="s">
        <v>1509</v>
      </c>
      <c r="B38" t="s">
        <v>1028</v>
      </c>
    </row>
    <row r="39" spans="1:2" x14ac:dyDescent="0.25">
      <c r="A39" t="s">
        <v>1510</v>
      </c>
      <c r="B39" t="s">
        <v>1044</v>
      </c>
    </row>
    <row r="40" spans="1:2" x14ac:dyDescent="0.25">
      <c r="A40" t="s">
        <v>1511</v>
      </c>
      <c r="B40" t="s">
        <v>1051</v>
      </c>
    </row>
    <row r="41" spans="1:2" x14ac:dyDescent="0.25">
      <c r="A41" t="s">
        <v>1512</v>
      </c>
      <c r="B41" t="s">
        <v>1062</v>
      </c>
    </row>
    <row r="42" spans="1:2" x14ac:dyDescent="0.25">
      <c r="A42" t="s">
        <v>1513</v>
      </c>
      <c r="B42" t="s">
        <v>1066</v>
      </c>
    </row>
    <row r="43" spans="1:2" x14ac:dyDescent="0.25">
      <c r="A43" t="s">
        <v>1514</v>
      </c>
      <c r="B43" t="s">
        <v>1074</v>
      </c>
    </row>
    <row r="44" spans="1:2" x14ac:dyDescent="0.25">
      <c r="A44" t="s">
        <v>1584</v>
      </c>
      <c r="B44" t="s">
        <v>1074</v>
      </c>
    </row>
    <row r="45" spans="1:2" x14ac:dyDescent="0.25">
      <c r="A45" t="s">
        <v>1515</v>
      </c>
      <c r="B45" t="s">
        <v>1084</v>
      </c>
    </row>
    <row r="46" spans="1:2" x14ac:dyDescent="0.25">
      <c r="A46" t="s">
        <v>1516</v>
      </c>
      <c r="B46" t="s">
        <v>1099</v>
      </c>
    </row>
    <row r="47" spans="1:2" x14ac:dyDescent="0.25">
      <c r="A47" t="s">
        <v>1517</v>
      </c>
      <c r="B47" t="s">
        <v>1106</v>
      </c>
    </row>
    <row r="48" spans="1:2" x14ac:dyDescent="0.25">
      <c r="A48" t="s">
        <v>1518</v>
      </c>
      <c r="B48" t="s">
        <v>1113</v>
      </c>
    </row>
    <row r="49" spans="1:2" x14ac:dyDescent="0.25">
      <c r="A49" t="s">
        <v>1519</v>
      </c>
      <c r="B49" t="s">
        <v>1123</v>
      </c>
    </row>
    <row r="50" spans="1:2" x14ac:dyDescent="0.25">
      <c r="A50" t="s">
        <v>1520</v>
      </c>
      <c r="B50" t="s">
        <v>1125</v>
      </c>
    </row>
    <row r="51" spans="1:2" x14ac:dyDescent="0.25">
      <c r="A51" t="s">
        <v>1522</v>
      </c>
      <c r="B51" t="s">
        <v>1140</v>
      </c>
    </row>
    <row r="52" spans="1:2" x14ac:dyDescent="0.25">
      <c r="A52" t="s">
        <v>1523</v>
      </c>
      <c r="B52" t="s">
        <v>1144</v>
      </c>
    </row>
    <row r="53" spans="1:2" x14ac:dyDescent="0.25">
      <c r="A53" t="s">
        <v>1585</v>
      </c>
      <c r="B53" t="s">
        <v>1144</v>
      </c>
    </row>
    <row r="54" spans="1:2" x14ac:dyDescent="0.25">
      <c r="A54" t="s">
        <v>1521</v>
      </c>
      <c r="B54" t="s">
        <v>1128</v>
      </c>
    </row>
    <row r="55" spans="1:2" x14ac:dyDescent="0.25">
      <c r="A55" t="s">
        <v>1586</v>
      </c>
      <c r="B55" t="s">
        <v>1128</v>
      </c>
    </row>
    <row r="56" spans="1:2" x14ac:dyDescent="0.25">
      <c r="A56" t="s">
        <v>1524</v>
      </c>
      <c r="B56" t="s">
        <v>1151</v>
      </c>
    </row>
    <row r="57" spans="1:2" x14ac:dyDescent="0.25">
      <c r="A57" t="s">
        <v>1525</v>
      </c>
      <c r="B57" t="s">
        <v>1160</v>
      </c>
    </row>
    <row r="58" spans="1:2" x14ac:dyDescent="0.25">
      <c r="A58" t="s">
        <v>1526</v>
      </c>
      <c r="B58" t="s">
        <v>1171</v>
      </c>
    </row>
    <row r="59" spans="1:2" x14ac:dyDescent="0.25">
      <c r="A59" t="s">
        <v>1527</v>
      </c>
      <c r="B59" t="s">
        <v>1188</v>
      </c>
    </row>
    <row r="60" spans="1:2" x14ac:dyDescent="0.25">
      <c r="A60" t="s">
        <v>1529</v>
      </c>
      <c r="B60" t="s">
        <v>1193</v>
      </c>
    </row>
    <row r="61" spans="1:2" x14ac:dyDescent="0.25">
      <c r="A61" t="s">
        <v>1587</v>
      </c>
      <c r="B61" t="s">
        <v>1193</v>
      </c>
    </row>
    <row r="62" spans="1:2" x14ac:dyDescent="0.25">
      <c r="A62" t="s">
        <v>1530</v>
      </c>
      <c r="B62" t="s">
        <v>1203</v>
      </c>
    </row>
    <row r="63" spans="1:2" x14ac:dyDescent="0.25">
      <c r="A63" t="s">
        <v>1588</v>
      </c>
      <c r="B63" t="s">
        <v>1223</v>
      </c>
    </row>
    <row r="64" spans="1:2" x14ac:dyDescent="0.25">
      <c r="A64" t="s">
        <v>1531</v>
      </c>
      <c r="B64" t="s">
        <v>1223</v>
      </c>
    </row>
    <row r="65" spans="1:2" x14ac:dyDescent="0.25">
      <c r="A65" t="s">
        <v>1589</v>
      </c>
      <c r="B65" t="s">
        <v>1230</v>
      </c>
    </row>
    <row r="66" spans="1:2" x14ac:dyDescent="0.25">
      <c r="A66" t="s">
        <v>1532</v>
      </c>
      <c r="B66" t="s">
        <v>1230</v>
      </c>
    </row>
    <row r="67" spans="1:2" x14ac:dyDescent="0.25">
      <c r="A67" t="s">
        <v>1590</v>
      </c>
      <c r="B67" t="s">
        <v>1235</v>
      </c>
    </row>
    <row r="68" spans="1:2" x14ac:dyDescent="0.25">
      <c r="A68" t="s">
        <v>1533</v>
      </c>
      <c r="B68" t="s">
        <v>1235</v>
      </c>
    </row>
    <row r="69" spans="1:2" x14ac:dyDescent="0.25">
      <c r="A69" t="s">
        <v>1534</v>
      </c>
      <c r="B69" t="s">
        <v>1245</v>
      </c>
    </row>
    <row r="70" spans="1:2" x14ac:dyDescent="0.25">
      <c r="A70" t="s">
        <v>1591</v>
      </c>
      <c r="B70" t="s">
        <v>1245</v>
      </c>
    </row>
    <row r="71" spans="1:2" x14ac:dyDescent="0.25">
      <c r="A71" t="s">
        <v>1535</v>
      </c>
      <c r="B71" t="s">
        <v>1250</v>
      </c>
    </row>
    <row r="72" spans="1:2" x14ac:dyDescent="0.25">
      <c r="A72" t="s">
        <v>1537</v>
      </c>
      <c r="B72" t="s">
        <v>1264</v>
      </c>
    </row>
    <row r="73" spans="1:2" x14ac:dyDescent="0.25">
      <c r="A73" t="s">
        <v>1539</v>
      </c>
      <c r="B73" t="s">
        <v>1272</v>
      </c>
    </row>
    <row r="74" spans="1:2" x14ac:dyDescent="0.25">
      <c r="A74" t="s">
        <v>1540</v>
      </c>
      <c r="B74" t="s">
        <v>1281</v>
      </c>
    </row>
    <row r="75" spans="1:2" x14ac:dyDescent="0.25">
      <c r="A75" t="s">
        <v>1543</v>
      </c>
      <c r="B75" t="s">
        <v>1302</v>
      </c>
    </row>
    <row r="76" spans="1:2" x14ac:dyDescent="0.25">
      <c r="A76" t="s">
        <v>1544</v>
      </c>
      <c r="B76" t="s">
        <v>1324</v>
      </c>
    </row>
    <row r="77" spans="1:2" x14ac:dyDescent="0.25">
      <c r="A77" t="s">
        <v>1592</v>
      </c>
      <c r="B77" t="s">
        <v>1328</v>
      </c>
    </row>
    <row r="78" spans="1:2" x14ac:dyDescent="0.25">
      <c r="A78" t="s">
        <v>1545</v>
      </c>
      <c r="B78" t="s">
        <v>1328</v>
      </c>
    </row>
    <row r="79" spans="1:2" x14ac:dyDescent="0.25">
      <c r="A79" t="s">
        <v>1541</v>
      </c>
      <c r="B79" t="s">
        <v>1291</v>
      </c>
    </row>
    <row r="80" spans="1:2" x14ac:dyDescent="0.25">
      <c r="A80" t="s">
        <v>1542</v>
      </c>
      <c r="B80" t="s">
        <v>1298</v>
      </c>
    </row>
    <row r="81" spans="1:2" x14ac:dyDescent="0.25">
      <c r="A81" t="s">
        <v>1548</v>
      </c>
      <c r="B81" t="s">
        <v>1348</v>
      </c>
    </row>
    <row r="82" spans="1:2" x14ac:dyDescent="0.25">
      <c r="A82" t="s">
        <v>1593</v>
      </c>
      <c r="B82" t="s">
        <v>1348</v>
      </c>
    </row>
    <row r="83" spans="1:2" x14ac:dyDescent="0.25">
      <c r="A83" t="s">
        <v>1549</v>
      </c>
      <c r="B83" t="s">
        <v>1359</v>
      </c>
    </row>
    <row r="84" spans="1:2" x14ac:dyDescent="0.25">
      <c r="A84" t="s">
        <v>1550</v>
      </c>
      <c r="B84" t="s">
        <v>1363</v>
      </c>
    </row>
    <row r="85" spans="1:2" x14ac:dyDescent="0.25">
      <c r="A85" t="s">
        <v>1551</v>
      </c>
      <c r="B85" t="s">
        <v>1368</v>
      </c>
    </row>
    <row r="86" spans="1:2" x14ac:dyDescent="0.25">
      <c r="A86" t="s">
        <v>1552</v>
      </c>
      <c r="B86" t="s">
        <v>1373</v>
      </c>
    </row>
    <row r="87" spans="1:2" x14ac:dyDescent="0.25">
      <c r="A87" t="s">
        <v>1374</v>
      </c>
      <c r="B87" t="s">
        <v>1388</v>
      </c>
    </row>
    <row r="88" spans="1:2" x14ac:dyDescent="0.25">
      <c r="A88" t="s">
        <v>1397</v>
      </c>
      <c r="B88" t="s">
        <v>1403</v>
      </c>
    </row>
    <row r="89" spans="1:2" x14ac:dyDescent="0.25">
      <c r="A89" t="s">
        <v>1389</v>
      </c>
      <c r="B89" t="s">
        <v>1396</v>
      </c>
    </row>
    <row r="90" spans="1:2" x14ac:dyDescent="0.25">
      <c r="A90" t="s">
        <v>1404</v>
      </c>
      <c r="B90" t="s">
        <v>1409</v>
      </c>
    </row>
    <row r="91" spans="1:2" x14ac:dyDescent="0.25">
      <c r="A91" t="s">
        <v>1430</v>
      </c>
      <c r="B91" t="s">
        <v>1434</v>
      </c>
    </row>
    <row r="92" spans="1:2" x14ac:dyDescent="0.25">
      <c r="A92" t="s">
        <v>1594</v>
      </c>
      <c r="B92" t="s">
        <v>1434</v>
      </c>
    </row>
    <row r="93" spans="1:2" x14ac:dyDescent="0.25">
      <c r="A93" t="s">
        <v>1595</v>
      </c>
      <c r="B93" t="s">
        <v>1438</v>
      </c>
    </row>
    <row r="94" spans="1:2" x14ac:dyDescent="0.25">
      <c r="A94" t="s">
        <v>1435</v>
      </c>
      <c r="B94" t="s">
        <v>1438</v>
      </c>
    </row>
    <row r="95" spans="1:2" x14ac:dyDescent="0.25">
      <c r="A95" t="s">
        <v>1439</v>
      </c>
      <c r="B95" t="s">
        <v>1235</v>
      </c>
    </row>
    <row r="96" spans="1:2" x14ac:dyDescent="0.25">
      <c r="A96" t="s">
        <v>1445</v>
      </c>
      <c r="B96" t="s">
        <v>1447</v>
      </c>
    </row>
    <row r="97" spans="1:2" x14ac:dyDescent="0.25">
      <c r="A97" t="s">
        <v>1448</v>
      </c>
      <c r="B97" t="s">
        <v>1438</v>
      </c>
    </row>
    <row r="98" spans="1:2" x14ac:dyDescent="0.25">
      <c r="A98" t="s">
        <v>1451</v>
      </c>
      <c r="B98" t="s">
        <v>1459</v>
      </c>
    </row>
    <row r="99" spans="1:2" x14ac:dyDescent="0.25">
      <c r="A99" t="s">
        <v>1546</v>
      </c>
      <c r="B99" t="s">
        <v>1335</v>
      </c>
    </row>
    <row r="100" spans="1:2" x14ac:dyDescent="0.25">
      <c r="A100" t="s">
        <v>1547</v>
      </c>
      <c r="B100" t="s">
        <v>1340</v>
      </c>
    </row>
    <row r="101" spans="1:2" x14ac:dyDescent="0.25">
      <c r="A101" t="s">
        <v>1596</v>
      </c>
      <c r="B101" t="s">
        <v>1340</v>
      </c>
    </row>
    <row r="102" spans="1:2" x14ac:dyDescent="0.25">
      <c r="A102" t="s">
        <v>1418</v>
      </c>
      <c r="B102" t="s">
        <v>1429</v>
      </c>
    </row>
    <row r="103" spans="1:2" x14ac:dyDescent="0.25">
      <c r="A103" t="s">
        <v>1410</v>
      </c>
      <c r="B103" t="s">
        <v>1417</v>
      </c>
    </row>
    <row r="104" spans="1:2" x14ac:dyDescent="0.25">
      <c r="A104" t="s">
        <v>1460</v>
      </c>
      <c r="B104" t="s">
        <v>1461</v>
      </c>
    </row>
    <row r="105" spans="1:2" x14ac:dyDescent="0.25">
      <c r="A105" t="s">
        <v>1465</v>
      </c>
      <c r="B105" t="s">
        <v>1467</v>
      </c>
    </row>
    <row r="106" spans="1:2" x14ac:dyDescent="0.25">
      <c r="A106" t="s">
        <v>1468</v>
      </c>
      <c r="B106" t="s">
        <v>1472</v>
      </c>
    </row>
    <row r="107" spans="1:2" x14ac:dyDescent="0.25">
      <c r="A107" t="s">
        <v>1473</v>
      </c>
      <c r="B107" t="s">
        <v>1480</v>
      </c>
    </row>
    <row r="108" spans="1:2" x14ac:dyDescent="0.25">
      <c r="A108" t="s">
        <v>1481</v>
      </c>
      <c r="B108" t="s">
        <v>1484</v>
      </c>
    </row>
    <row r="109" spans="1:2" x14ac:dyDescent="0.25">
      <c r="A109" t="s">
        <v>1485</v>
      </c>
      <c r="B109" t="s">
        <v>1489</v>
      </c>
    </row>
    <row r="110" spans="1:2" x14ac:dyDescent="0.25">
      <c r="A110" t="s">
        <v>1490</v>
      </c>
      <c r="B110" t="s">
        <v>1492</v>
      </c>
    </row>
    <row r="111" spans="1:2" x14ac:dyDescent="0.25">
      <c r="A111" t="s">
        <v>1493</v>
      </c>
      <c r="B111" t="s">
        <v>1496</v>
      </c>
    </row>
    <row r="112" spans="1:2" x14ac:dyDescent="0.25">
      <c r="A112" t="s">
        <v>168</v>
      </c>
      <c r="B112" t="s">
        <v>218</v>
      </c>
    </row>
    <row r="113" spans="1:2" x14ac:dyDescent="0.25">
      <c r="A113" t="s">
        <v>527</v>
      </c>
      <c r="B113" t="s">
        <v>577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MASTER_SCHOOL_TABLE_UTF8</vt:lpstr>
      <vt:lpstr>main</vt:lpstr>
      <vt:lpstr>工作表1</vt:lpstr>
      <vt:lpstr>工作表3</vt:lpstr>
      <vt:lpstr>address_map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Yu-Chung Wang</dc:creator>
  <cp:lastModifiedBy>Yu-Chung Wang</cp:lastModifiedBy>
  <dcterms:created xsi:type="dcterms:W3CDTF">2026-02-23T20:06:25Z</dcterms:created>
  <dcterms:modified xsi:type="dcterms:W3CDTF">2026-03-10T13:05:02Z</dcterms:modified>
</cp:coreProperties>
</file>